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esti\Downloads\"/>
    </mc:Choice>
  </mc:AlternateContent>
  <xr:revisionPtr revIDLastSave="0" documentId="8_{3D7D7FB1-2749-4FC0-A048-7AE9D191B9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 ответов" sheetId="2" r:id="rId1"/>
    <sheet name="Лист1" sheetId="5" r:id="rId2"/>
    <sheet name="База данных" sheetId="1" r:id="rId3"/>
    <sheet name="Sheet2" sheetId="4" r:id="rId4"/>
  </sheets>
  <definedNames>
    <definedName name="_xlnm._FilterDatabase" localSheetId="2" hidden="1">'База данных'!$A$1:$J$624</definedName>
    <definedName name="Срез_Тарифный_план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2" i="1"/>
  <c r="L2" i="1" s="1"/>
  <c r="J2" i="1" a="1"/>
  <c r="J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H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2" i="1"/>
  <c r="F3" i="2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  <c r="F21" i="2"/>
  <c r="C22" i="2" s="1"/>
  <c r="B22" i="2" s="1"/>
  <c r="F20" i="2"/>
  <c r="C21" i="2" s="1"/>
  <c r="B21" i="2" s="1"/>
  <c r="F19" i="2"/>
  <c r="C20" i="2" s="1"/>
  <c r="B20" i="2" s="1"/>
  <c r="F18" i="2"/>
  <c r="C19" i="2" s="1"/>
  <c r="B19" i="2" s="1"/>
  <c r="F17" i="2"/>
  <c r="C18" i="2" s="1"/>
  <c r="B18" i="2" s="1"/>
  <c r="F16" i="2"/>
  <c r="C17" i="2" s="1"/>
  <c r="B17" i="2" s="1"/>
  <c r="F15" i="2"/>
  <c r="C16" i="2" s="1"/>
  <c r="B16" i="2" s="1"/>
  <c r="F14" i="2"/>
  <c r="C15" i="2" s="1"/>
  <c r="B15" i="2" s="1"/>
  <c r="F13" i="2"/>
  <c r="C14" i="2" s="1"/>
  <c r="B14" i="2" s="1"/>
  <c r="F12" i="2"/>
  <c r="C13" i="2" s="1"/>
  <c r="B13" i="2" s="1"/>
  <c r="F11" i="2"/>
  <c r="C12" i="2" s="1"/>
  <c r="B12" i="2" s="1"/>
  <c r="F10" i="2"/>
  <c r="C11" i="2" s="1"/>
  <c r="B11" i="2" s="1"/>
  <c r="F9" i="2"/>
  <c r="C10" i="2" s="1"/>
  <c r="B10" i="2" s="1"/>
  <c r="F8" i="2"/>
  <c r="C9" i="2" s="1"/>
  <c r="B9" i="2" s="1"/>
  <c r="F7" i="2"/>
  <c r="C8" i="2" s="1"/>
  <c r="B8" i="2" s="1"/>
  <c r="F6" i="2"/>
  <c r="C7" i="2" s="1"/>
  <c r="B7" i="2" s="1"/>
  <c r="F5" i="2"/>
  <c r="C6" i="2" s="1"/>
  <c r="B6" i="2" s="1"/>
  <c r="F4" i="2"/>
  <c r="C5" i="2" s="1"/>
  <c r="B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<sst xmlns="http://schemas.openxmlformats.org/spreadsheetml/2006/main" count="643" uniqueCount="22">
  <si>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</si>
  <si>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</si>
  <si>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</si>
  <si>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</si>
  <si>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</si>
  <si>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</si>
  <si>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</si>
  <si>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</si>
  <si>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</si>
  <si>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</si>
  <si>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</si>
  <si>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</si>
  <si>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</si>
  <si>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</si>
  <si>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</si>
  <si>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</si>
  <si>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</si>
  <si>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Сумма</t>
  </si>
  <si>
    <t>Количество по полю Абонент</t>
  </si>
  <si>
    <t>Сумма по полю Тарифный план</t>
  </si>
  <si>
    <t>(Все)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</si>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</sst>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0" fontId="0" fillId="0" borderId="0" xfId="0" pivotButton="1"/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1530350</xdr:colOff>
      <xdr:row>5</xdr:row>
      <xdr:rowOff>57150</xdr:rowOff>
    </xdr:from>
    <xdr:to>
      <xdr:col>4</xdr:col>
      <xdr:colOff>82550</xdr:colOff>
      <xdr:row>19</xdr:row>
      <xdr:rowOff>3175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Тарифный план">
              <a:extLst>
                <a:ext uri="{FF2B5EF4-FFF2-40B4-BE49-F238E27FC236}">
                  <a16:creationId xmlns:a16="http://schemas.microsoft.com/office/drawing/2014/main" id="{8801CF63-9ED4-FFDF-B464-5248F4E437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арифный пла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300" y="9779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timessov Askar" refreshedDate="46141.949649305556" createdVersion="8" refreshedVersion="8" minRefreshableVersion="3" recordCount="624" xr:uid="{C95DC5FA-2E4F-44D3-9D27-5A021064BE3F}">
  <cacheSource type="worksheet">
    <worksheetSource ref="A1:F1048576" sheet="База данных"/>
  </cacheSource>
  <cacheFields count="6">
    <cacheField name="Абонент" numFmtId="0">
      <sharedItems containsString="0" containsBlank="1" containsNumber="1" containsInteger="1" minValue="77010000001" maxValue="77010000313" count="293">
        <n v="77010000068"/>
        <n v="77010000001"/>
        <n v="77010000003"/>
        <n v="77010000004"/>
        <n v="77010000008"/>
        <n v="77010000052"/>
        <n v="77010000060"/>
        <n v="77010000046"/>
        <n v="77010000054"/>
        <n v="77010000062"/>
        <n v="77010000065"/>
        <n v="77010000066"/>
        <n v="77010000063"/>
        <n v="77010000045"/>
        <n v="77010000082"/>
        <n v="77010000094"/>
        <n v="77010000042"/>
        <n v="77010000014"/>
        <n v="77010000017"/>
        <n v="77010000040"/>
        <n v="77010000056"/>
        <n v="77010000061"/>
        <n v="77010000078"/>
        <n v="77010000005"/>
        <n v="77010000006"/>
        <n v="77010000051"/>
        <n v="77010000058"/>
        <n v="77010000070"/>
        <n v="77010000064"/>
        <n v="77010000037"/>
        <n v="77010000086"/>
        <n v="77010000092"/>
        <n v="77010000095"/>
        <n v="77010000009"/>
        <n v="77010000010"/>
        <n v="77010000016"/>
        <n v="77010000081"/>
        <n v="77010000067"/>
        <n v="77010000075"/>
        <n v="77010000088"/>
        <n v="77010000002"/>
        <n v="77010000049"/>
        <n v="77010000079"/>
        <n v="77010000048"/>
        <n v="77010000057"/>
        <n v="77010000084"/>
        <n v="77010000007"/>
        <n v="77010000089"/>
        <n v="77010000093"/>
        <n v="77010000018"/>
        <n v="77010000073"/>
        <n v="77010000053"/>
        <n v="77010000085"/>
        <n v="77010000033"/>
        <n v="77010000031"/>
        <n v="77010000050"/>
        <n v="77010000055"/>
        <n v="77010000090"/>
        <n v="77010000076"/>
        <n v="77010000035"/>
        <n v="77010000023"/>
        <n v="77010000039"/>
        <n v="77010000069"/>
        <n v="77010000047"/>
        <n v="77010000043"/>
        <n v="77010000013"/>
        <n v="77010000036"/>
        <n v="77010000074"/>
        <n v="77010000059"/>
        <n v="77010000077"/>
        <n v="77010000083"/>
        <n v="77010000011"/>
        <n v="77010000027"/>
        <n v="77010000032"/>
        <n v="77010000022"/>
        <n v="77010000034"/>
        <n v="77010000080"/>
        <n v="77010000041"/>
        <n v="77010000044"/>
        <n v="77010000091"/>
        <n v="77010000021"/>
        <n v="77010000026"/>
        <n v="77010000029"/>
        <n v="77010000038"/>
        <n v="77010000020"/>
        <n v="77010000025"/>
        <n v="77010000012"/>
        <n v="77010000024"/>
        <n v="77010000087"/>
        <n v="77010000096"/>
        <n v="77010000072"/>
        <n v="77010000071"/>
        <n v="77010000028"/>
        <n v="77010000030"/>
        <n v="77010000019"/>
        <n v="77010000015"/>
        <n v="77010000112"/>
        <n v="77010000114"/>
        <n v="77010000118"/>
        <n v="77010000120"/>
        <n v="77010000115"/>
        <n v="77010000121"/>
        <n v="77010000125"/>
        <n v="77010000103"/>
        <n v="77010000110"/>
        <n v="77010000128"/>
        <n v="77010000126"/>
        <n v="77010000127"/>
        <n v="77010000100"/>
        <n v="77010000102"/>
        <n v="77010000124"/>
        <n v="77010000111"/>
        <n v="77010000129"/>
        <n v="77010000098"/>
        <n v="77010000104"/>
        <n v="77010000106"/>
        <n v="77010000107"/>
        <n v="77010000105"/>
        <n v="77010000117"/>
        <n v="77010000123"/>
        <n v="77010000113"/>
        <n v="77010000119"/>
        <n v="77010000116"/>
        <n v="77010000122"/>
        <n v="77010000109"/>
        <n v="77010000108"/>
        <n v="77010000101"/>
        <n v="77010000099"/>
        <n v="77010000138"/>
        <n v="77010000135"/>
        <n v="77010000134"/>
        <n v="77010000130"/>
        <n v="77010000131"/>
        <n v="77010000145"/>
        <n v="77010000137"/>
        <n v="77010000132"/>
        <n v="77010000139"/>
        <n v="77010000136"/>
        <n v="77010000144"/>
        <n v="77010000143"/>
        <n v="77010000141"/>
        <n v="77010000133"/>
        <n v="77010000146"/>
        <n v="77010000140"/>
        <n v="77010000142"/>
        <n v="77010000150"/>
        <n v="77010000148"/>
        <n v="77010000147"/>
        <n v="77010000149"/>
        <n v="77010000151"/>
        <n v="77010000152"/>
        <n v="77010000154"/>
        <n v="77010000153"/>
        <n v="77010000174"/>
        <n v="77010000181"/>
        <n v="77010000162"/>
        <n v="77010000165"/>
        <n v="77010000166"/>
        <n v="77010000170"/>
        <n v="77010000175"/>
        <n v="77010000182"/>
        <n v="77010000187"/>
        <n v="77010000193"/>
        <n v="77010000195"/>
        <n v="77010000198"/>
        <n v="77010000171"/>
        <n v="77010000173"/>
        <n v="77010000185"/>
        <n v="77010000205"/>
        <n v="77010000192"/>
        <n v="77010000224"/>
        <n v="77010000227"/>
        <n v="77010000209"/>
        <n v="77010000216"/>
        <n v="77010000236"/>
        <n v="77010000235"/>
        <n v="77010000163"/>
        <n v="77010000177"/>
        <n v="77010000186"/>
        <n v="77010000189"/>
        <n v="77010000237"/>
        <n v="77010000168"/>
        <n v="77010000199"/>
        <n v="77010000223"/>
        <n v="77010000234"/>
        <n v="77010000164"/>
        <n v="77010000169"/>
        <n v="77010000172"/>
        <n v="77010000180"/>
        <n v="77010000191"/>
        <n v="77010000196"/>
        <n v="77010000167"/>
        <n v="77010000200"/>
        <n v="77010000184"/>
        <n v="77010000212"/>
        <n v="77010000183"/>
        <n v="77010000190"/>
        <n v="77010000204"/>
        <n v="77010000219"/>
        <n v="77010000178"/>
        <n v="77010000188"/>
        <n v="77010000221"/>
        <n v="77010000176"/>
        <n v="77010000218"/>
        <n v="77010000220"/>
        <n v="77010000203"/>
        <n v="77010000210"/>
        <n v="77010000233"/>
        <n v="77010000202"/>
        <n v="77010000231"/>
        <n v="77010000197"/>
        <n v="77010000207"/>
        <n v="77010000179"/>
        <n v="77010000194"/>
        <n v="77010000206"/>
        <n v="77010000228"/>
        <n v="77010000201"/>
        <n v="77010000208"/>
        <n v="77010000226"/>
        <n v="77010000213"/>
        <n v="77010000230"/>
        <n v="77010000217"/>
        <n v="77010000232"/>
        <n v="77010000211"/>
        <n v="77010000229"/>
        <n v="77010000222"/>
        <n v="77010000225"/>
        <n v="77010000214"/>
        <n v="77010000215"/>
        <n v="77010000262"/>
        <n v="77010000240"/>
        <n v="77010000244"/>
        <n v="77010000245"/>
        <n v="77010000247"/>
        <n v="77010000252"/>
        <n v="77010000269"/>
        <n v="77010000273"/>
        <n v="77010000287"/>
        <n v="77010000288"/>
        <n v="77010000291"/>
        <n v="77010000293"/>
        <n v="77010000310"/>
        <n v="77010000271"/>
        <n v="77010000239"/>
        <n v="77010000243"/>
        <n v="77010000251"/>
        <n v="77010000306"/>
        <n v="77010000279"/>
        <n v="77010000281"/>
        <n v="77010000238"/>
        <n v="77010000246"/>
        <n v="77010000248"/>
        <n v="77010000270"/>
        <n v="77010000294"/>
        <n v="77010000290"/>
        <n v="77010000258"/>
        <n v="77010000285"/>
        <n v="77010000295"/>
        <n v="77010000312"/>
        <n v="77010000241"/>
        <n v="77010000242"/>
        <n v="77010000249"/>
        <n v="77010000257"/>
        <n v="77010000289"/>
        <n v="77010000250"/>
        <n v="77010000292"/>
        <n v="77010000254"/>
        <n v="77010000260"/>
        <n v="77010000261"/>
        <n v="77010000282"/>
        <n v="77010000255"/>
        <n v="77010000307"/>
        <n v="77010000274"/>
        <n v="77010000256"/>
        <n v="77010000308"/>
        <n v="77010000275"/>
        <n v="77010000311"/>
        <n v="77010000259"/>
        <n v="77010000272"/>
        <n v="77010000268"/>
        <n v="77010000309"/>
        <n v="77010000253"/>
        <n v="77010000276"/>
        <n v="77010000280"/>
        <n v="77010000296"/>
        <n v="77010000278"/>
        <n v="77010000277"/>
        <n v="77010000286"/>
        <n v="77010000284"/>
        <n v="77010000297"/>
        <n v="77010000313"/>
        <n v="77010000283"/>
        <m/>
      </sharedItems>
    </cacheField>
    <cacheField name="Тарифный план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Направление звонка" numFmtId="0">
      <sharedItems containsBlank="1"/>
    </cacheField>
    <cacheField name="Начисления, тенге" numFmtId="0">
      <sharedItems containsString="0" containsBlank="1" containsNumber="1" minValue="0" maxValue="62.72"/>
    </cacheField>
    <cacheField name="Продолжительность разговора, секунды" numFmtId="2">
      <sharedItems containsString="0" containsBlank="1" containsNumber="1" containsInteger="1" minValue="0" maxValue="95"/>
    </cacheField>
    <cacheField name="Сумма" numFmtId="0">
      <sharedItems containsString="0" containsBlank="1" containsNumber="1" minValue="0" maxValue="4954.88"/>
    </cacheField>
  </cacheFields>
  <extLst>
    <ext xmlns:x14="http://schemas.microsoft.com/office/spreadsheetml/2009/9/main" uri="{725AE2AE-9491-48be-B2B4-4EB974FC3084}">
      <x14:pivotCacheDefinition pivotCacheId="434183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x v="0"/>
    <x v="0"/>
    <s v="Внутри сети"/>
    <n v="0"/>
    <n v="0"/>
    <n v="0"/>
  </r>
  <r>
    <x v="1"/>
    <x v="0"/>
    <s v="Внутри сети"/>
    <n v="0.43"/>
    <n v="1"/>
    <n v="0.43"/>
  </r>
  <r>
    <x v="2"/>
    <x v="0"/>
    <s v="Внутри сети"/>
    <n v="0.43"/>
    <n v="1"/>
    <n v="0.43"/>
  </r>
  <r>
    <x v="3"/>
    <x v="0"/>
    <s v="Внутри сети"/>
    <n v="0.43"/>
    <n v="1"/>
    <n v="0.43"/>
  </r>
  <r>
    <x v="4"/>
    <x v="0"/>
    <s v="Внутри сети"/>
    <n v="0.43"/>
    <n v="1"/>
    <n v="0.43"/>
  </r>
  <r>
    <x v="5"/>
    <x v="0"/>
    <s v="Внутри сети"/>
    <n v="0.43"/>
    <n v="1"/>
    <n v="0.43"/>
  </r>
  <r>
    <x v="6"/>
    <x v="0"/>
    <s v="Внутри сети"/>
    <n v="0.43"/>
    <n v="1"/>
    <n v="0.43"/>
  </r>
  <r>
    <x v="7"/>
    <x v="0"/>
    <s v="Внутри сети"/>
    <n v="0.43"/>
    <n v="1"/>
    <n v="0.43"/>
  </r>
  <r>
    <x v="8"/>
    <x v="0"/>
    <s v="Внутри сети"/>
    <n v="0.43"/>
    <n v="1"/>
    <n v="0.43"/>
  </r>
  <r>
    <x v="9"/>
    <x v="0"/>
    <s v="Внутри сети"/>
    <n v="0.43"/>
    <n v="1"/>
    <n v="0.43"/>
  </r>
  <r>
    <x v="10"/>
    <x v="0"/>
    <s v="Внутри сети"/>
    <n v="0.43"/>
    <n v="1"/>
    <n v="0.43"/>
  </r>
  <r>
    <x v="11"/>
    <x v="0"/>
    <s v="Внутри сети"/>
    <n v="0.43"/>
    <n v="1"/>
    <n v="0.43"/>
  </r>
  <r>
    <x v="12"/>
    <x v="0"/>
    <s v="На других операторов"/>
    <n v="7.43"/>
    <n v="1"/>
    <n v="7.43"/>
  </r>
  <r>
    <x v="11"/>
    <x v="0"/>
    <s v="Внутри сети"/>
    <n v="0.43"/>
    <n v="1"/>
    <n v="0.43"/>
  </r>
  <r>
    <x v="13"/>
    <x v="0"/>
    <s v="Внутри сети"/>
    <n v="0.43"/>
    <n v="1"/>
    <n v="0.43"/>
  </r>
  <r>
    <x v="14"/>
    <x v="0"/>
    <s v="Внутри сети"/>
    <n v="0.43"/>
    <n v="1"/>
    <n v="0.43"/>
  </r>
  <r>
    <x v="15"/>
    <x v="0"/>
    <s v="Внутри сети"/>
    <n v="0.43"/>
    <n v="1"/>
    <n v="0.43"/>
  </r>
  <r>
    <x v="2"/>
    <x v="0"/>
    <s v="Внутри сети"/>
    <n v="0.43"/>
    <n v="1"/>
    <n v="0.43"/>
  </r>
  <r>
    <x v="16"/>
    <x v="0"/>
    <s v="На городской"/>
    <n v="7.43"/>
    <n v="1"/>
    <n v="7.43"/>
  </r>
  <r>
    <x v="4"/>
    <x v="0"/>
    <s v="Внутри сети"/>
    <n v="0.43"/>
    <n v="1"/>
    <n v="0.43"/>
  </r>
  <r>
    <x v="17"/>
    <x v="0"/>
    <s v="Внутри сети"/>
    <n v="0.43"/>
    <n v="1"/>
    <n v="0.43"/>
  </r>
  <r>
    <x v="18"/>
    <x v="0"/>
    <s v="Внутри сети"/>
    <n v="0.43"/>
    <n v="1"/>
    <n v="0.43"/>
  </r>
  <r>
    <x v="19"/>
    <x v="0"/>
    <s v="Внутри сети"/>
    <n v="0.43"/>
    <n v="1"/>
    <n v="0.43"/>
  </r>
  <r>
    <x v="20"/>
    <x v="0"/>
    <s v="Внутри сети"/>
    <n v="0.43"/>
    <n v="1"/>
    <n v="0.43"/>
  </r>
  <r>
    <x v="21"/>
    <x v="0"/>
    <s v="Внутри сети"/>
    <n v="0.43"/>
    <n v="1"/>
    <n v="0.43"/>
  </r>
  <r>
    <x v="22"/>
    <x v="0"/>
    <s v="Внутри сети"/>
    <n v="0.43"/>
    <n v="1"/>
    <n v="0.43"/>
  </r>
  <r>
    <x v="23"/>
    <x v="0"/>
    <s v="Внутри сети"/>
    <n v="0.85"/>
    <n v="2"/>
    <n v="1.7"/>
  </r>
  <r>
    <x v="24"/>
    <x v="0"/>
    <s v="Внутри сети"/>
    <n v="0.85"/>
    <n v="2"/>
    <n v="1.7"/>
  </r>
  <r>
    <x v="25"/>
    <x v="0"/>
    <s v="На других операторов"/>
    <n v="7.43"/>
    <n v="2"/>
    <n v="14.86"/>
  </r>
  <r>
    <x v="26"/>
    <x v="0"/>
    <s v="Внутри сети"/>
    <n v="0.85"/>
    <n v="2"/>
    <n v="1.7"/>
  </r>
  <r>
    <x v="27"/>
    <x v="0"/>
    <s v="Внутри сети"/>
    <n v="0.85"/>
    <n v="2"/>
    <n v="1.7"/>
  </r>
  <r>
    <x v="26"/>
    <x v="0"/>
    <s v="Внутри сети"/>
    <n v="0.85"/>
    <n v="2"/>
    <n v="1.7"/>
  </r>
  <r>
    <x v="28"/>
    <x v="0"/>
    <s v="Внутри сети"/>
    <n v="0.85"/>
    <n v="2"/>
    <n v="1.7"/>
  </r>
  <r>
    <x v="10"/>
    <x v="0"/>
    <s v="Внутри сети"/>
    <n v="0.85"/>
    <n v="2"/>
    <n v="1.7"/>
  </r>
  <r>
    <x v="29"/>
    <x v="0"/>
    <s v="На городской"/>
    <n v="7.43"/>
    <n v="2"/>
    <n v="14.86"/>
  </r>
  <r>
    <x v="22"/>
    <x v="0"/>
    <s v="Внутри сети"/>
    <n v="0.85"/>
    <n v="2"/>
    <n v="1.7"/>
  </r>
  <r>
    <x v="30"/>
    <x v="0"/>
    <s v="Внутри сети"/>
    <n v="0.85"/>
    <n v="2"/>
    <n v="1.7"/>
  </r>
  <r>
    <x v="31"/>
    <x v="0"/>
    <s v="Внутри сети"/>
    <n v="0.85"/>
    <n v="2"/>
    <n v="1.7"/>
  </r>
  <r>
    <x v="32"/>
    <x v="0"/>
    <s v="Внутри сети"/>
    <n v="0.85"/>
    <n v="2"/>
    <n v="1.7"/>
  </r>
  <r>
    <x v="1"/>
    <x v="0"/>
    <s v="Внутри сети"/>
    <n v="0.85"/>
    <n v="2"/>
    <n v="1.7"/>
  </r>
  <r>
    <x v="33"/>
    <x v="0"/>
    <s v="Внутри сети"/>
    <n v="0.85"/>
    <n v="2"/>
    <n v="1.7"/>
  </r>
  <r>
    <x v="34"/>
    <x v="0"/>
    <s v="Внутри сети"/>
    <n v="0.85"/>
    <n v="2"/>
    <n v="1.7"/>
  </r>
  <r>
    <x v="35"/>
    <x v="0"/>
    <s v="Внутри сети"/>
    <n v="0.85"/>
    <n v="2"/>
    <n v="1.7"/>
  </r>
  <r>
    <x v="36"/>
    <x v="0"/>
    <s v="Внутри сети"/>
    <n v="0.85"/>
    <n v="2"/>
    <n v="1.7"/>
  </r>
  <r>
    <x v="37"/>
    <x v="0"/>
    <s v="Внутри сети"/>
    <n v="1.28"/>
    <n v="3"/>
    <n v="3.84"/>
  </r>
  <r>
    <x v="38"/>
    <x v="0"/>
    <s v="Внутри сети"/>
    <n v="1.28"/>
    <n v="3"/>
    <n v="3.84"/>
  </r>
  <r>
    <x v="39"/>
    <x v="0"/>
    <s v="Внутри сети"/>
    <n v="1.28"/>
    <n v="3"/>
    <n v="3.84"/>
  </r>
  <r>
    <x v="40"/>
    <x v="0"/>
    <s v="Внутри сети"/>
    <n v="1.28"/>
    <n v="3"/>
    <n v="3.84"/>
  </r>
  <r>
    <x v="41"/>
    <x v="0"/>
    <s v="Внутри сети"/>
    <n v="1.28"/>
    <n v="3"/>
    <n v="3.84"/>
  </r>
  <r>
    <x v="42"/>
    <x v="0"/>
    <s v="Внутри сети"/>
    <n v="1.28"/>
    <n v="3"/>
    <n v="3.84"/>
  </r>
  <r>
    <x v="40"/>
    <x v="0"/>
    <s v="Внутри сети"/>
    <n v="1.7"/>
    <n v="4"/>
    <n v="6.8"/>
  </r>
  <r>
    <x v="43"/>
    <x v="0"/>
    <s v="Внутри сети"/>
    <n v="1.7"/>
    <n v="4"/>
    <n v="6.8"/>
  </r>
  <r>
    <x v="28"/>
    <x v="0"/>
    <s v="Внутри сети"/>
    <n v="1.7"/>
    <n v="4"/>
    <n v="6.8"/>
  </r>
  <r>
    <x v="21"/>
    <x v="0"/>
    <s v="Внутри сети"/>
    <n v="1.7"/>
    <n v="4"/>
    <n v="6.8"/>
  </r>
  <r>
    <x v="8"/>
    <x v="0"/>
    <s v="На других операторов"/>
    <n v="7.43"/>
    <n v="4"/>
    <n v="29.72"/>
  </r>
  <r>
    <x v="44"/>
    <x v="0"/>
    <s v="Внутри сети"/>
    <n v="1.7"/>
    <n v="4"/>
    <n v="6.8"/>
  </r>
  <r>
    <x v="45"/>
    <x v="0"/>
    <s v="На других операторов"/>
    <n v="7.43"/>
    <n v="4"/>
    <n v="29.72"/>
  </r>
  <r>
    <x v="3"/>
    <x v="0"/>
    <s v="Внутри сети"/>
    <n v="1.7"/>
    <n v="4"/>
    <n v="6.8"/>
  </r>
  <r>
    <x v="23"/>
    <x v="0"/>
    <s v="Внутри сети"/>
    <n v="1.7"/>
    <n v="4"/>
    <n v="6.8"/>
  </r>
  <r>
    <x v="46"/>
    <x v="0"/>
    <s v="Внутри сети"/>
    <n v="1.7"/>
    <n v="4"/>
    <n v="6.8"/>
  </r>
  <r>
    <x v="5"/>
    <x v="0"/>
    <s v="Внутри сети"/>
    <n v="1.7"/>
    <n v="4"/>
    <n v="6.8"/>
  </r>
  <r>
    <x v="9"/>
    <x v="0"/>
    <s v="На других операторов"/>
    <n v="7.43"/>
    <n v="5"/>
    <n v="37.15"/>
  </r>
  <r>
    <x v="43"/>
    <x v="0"/>
    <s v="Внутри сети"/>
    <n v="2.13"/>
    <n v="5"/>
    <n v="10.649999999999999"/>
  </r>
  <r>
    <x v="37"/>
    <x v="0"/>
    <s v="Внутри сети"/>
    <n v="2.13"/>
    <n v="5"/>
    <n v="10.649999999999999"/>
  </r>
  <r>
    <x v="47"/>
    <x v="0"/>
    <s v="Внутри сети"/>
    <n v="2.13"/>
    <n v="5"/>
    <n v="10.649999999999999"/>
  </r>
  <r>
    <x v="48"/>
    <x v="0"/>
    <s v="Внутри сети"/>
    <n v="2.13"/>
    <n v="5"/>
    <n v="10.649999999999999"/>
  </r>
  <r>
    <x v="49"/>
    <x v="0"/>
    <s v="Внутри сети"/>
    <n v="2.13"/>
    <n v="5"/>
    <n v="10.649999999999999"/>
  </r>
  <r>
    <x v="43"/>
    <x v="0"/>
    <s v="Внутри сети"/>
    <n v="2.13"/>
    <n v="5"/>
    <n v="10.649999999999999"/>
  </r>
  <r>
    <x v="50"/>
    <x v="0"/>
    <s v="На городской"/>
    <n v="7.43"/>
    <n v="5"/>
    <n v="37.15"/>
  </r>
  <r>
    <x v="20"/>
    <x v="0"/>
    <s v="На других операторов"/>
    <n v="7.43"/>
    <n v="6"/>
    <n v="44.58"/>
  </r>
  <r>
    <x v="44"/>
    <x v="0"/>
    <s v="Внутри сети"/>
    <n v="2.56"/>
    <n v="6"/>
    <n v="15.36"/>
  </r>
  <r>
    <x v="7"/>
    <x v="0"/>
    <s v="Внутри сети"/>
    <n v="2.56"/>
    <n v="6"/>
    <n v="15.36"/>
  </r>
  <r>
    <x v="51"/>
    <x v="0"/>
    <s v="На межнар"/>
    <n v="24.5"/>
    <n v="6"/>
    <n v="147"/>
  </r>
  <r>
    <x v="48"/>
    <x v="0"/>
    <s v="Внутри сети"/>
    <n v="2.56"/>
    <n v="6"/>
    <n v="15.36"/>
  </r>
  <r>
    <x v="52"/>
    <x v="0"/>
    <s v="Внутри сети"/>
    <n v="0.83"/>
    <n v="6"/>
    <n v="4.9799999999999995"/>
  </r>
  <r>
    <x v="53"/>
    <x v="0"/>
    <s v="Внутри сети"/>
    <n v="2.56"/>
    <n v="6"/>
    <n v="15.36"/>
  </r>
  <r>
    <x v="41"/>
    <x v="0"/>
    <s v="Внутри сети"/>
    <n v="2.98"/>
    <n v="7"/>
    <n v="20.86"/>
  </r>
  <r>
    <x v="50"/>
    <x v="0"/>
    <s v="Внутри сети"/>
    <n v="2.98"/>
    <n v="7"/>
    <n v="20.86"/>
  </r>
  <r>
    <x v="17"/>
    <x v="0"/>
    <s v="Внутри сети"/>
    <n v="2.98"/>
    <n v="7"/>
    <n v="20.86"/>
  </r>
  <r>
    <x v="24"/>
    <x v="0"/>
    <s v="Внутри сети"/>
    <n v="0"/>
    <n v="7"/>
    <n v="0"/>
  </r>
  <r>
    <x v="54"/>
    <x v="0"/>
    <s v="Внутри сети"/>
    <n v="2.98"/>
    <n v="7"/>
    <n v="20.86"/>
  </r>
  <r>
    <x v="16"/>
    <x v="0"/>
    <s v="Внутри сети"/>
    <n v="2.98"/>
    <n v="7"/>
    <n v="20.86"/>
  </r>
  <r>
    <x v="42"/>
    <x v="0"/>
    <s v="Внутри сети"/>
    <n v="2.98"/>
    <n v="7"/>
    <n v="20.86"/>
  </r>
  <r>
    <x v="46"/>
    <x v="0"/>
    <s v="Внутри сети"/>
    <n v="3.41"/>
    <n v="8"/>
    <n v="27.28"/>
  </r>
  <r>
    <x v="55"/>
    <x v="0"/>
    <s v="Внутри сети"/>
    <n v="3.41"/>
    <n v="8"/>
    <n v="27.28"/>
  </r>
  <r>
    <x v="8"/>
    <x v="0"/>
    <s v="На других операторов"/>
    <n v="7.43"/>
    <n v="8"/>
    <n v="59.44"/>
  </r>
  <r>
    <x v="56"/>
    <x v="0"/>
    <s v="Внутри сети"/>
    <n v="3.41"/>
    <n v="8"/>
    <n v="27.28"/>
  </r>
  <r>
    <x v="44"/>
    <x v="0"/>
    <s v="Внутри сети"/>
    <n v="3.41"/>
    <n v="8"/>
    <n v="27.28"/>
  </r>
  <r>
    <x v="6"/>
    <x v="0"/>
    <s v="Внутри сети"/>
    <n v="3.41"/>
    <n v="8"/>
    <n v="27.28"/>
  </r>
  <r>
    <x v="26"/>
    <x v="0"/>
    <s v="Внутри сети"/>
    <n v="3.41"/>
    <n v="8"/>
    <n v="27.28"/>
  </r>
  <r>
    <x v="57"/>
    <x v="0"/>
    <s v="Внутри сети"/>
    <n v="3.41"/>
    <n v="8"/>
    <n v="27.28"/>
  </r>
  <r>
    <x v="58"/>
    <x v="0"/>
    <s v="Внутри сети"/>
    <n v="3.41"/>
    <n v="8"/>
    <n v="27.28"/>
  </r>
  <r>
    <x v="59"/>
    <x v="0"/>
    <s v="Внутри сети"/>
    <n v="3.41"/>
    <n v="8"/>
    <n v="27.28"/>
  </r>
  <r>
    <x v="60"/>
    <x v="0"/>
    <s v="Внутри сети"/>
    <n v="3.41"/>
    <n v="8"/>
    <n v="27.28"/>
  </r>
  <r>
    <x v="61"/>
    <x v="0"/>
    <s v="Внутри сети"/>
    <n v="3.41"/>
    <n v="8"/>
    <n v="27.28"/>
  </r>
  <r>
    <x v="26"/>
    <x v="0"/>
    <s v="На городской"/>
    <n v="7.43"/>
    <n v="9"/>
    <n v="66.87"/>
  </r>
  <r>
    <x v="21"/>
    <x v="0"/>
    <s v="Внутри сети"/>
    <n v="3.84"/>
    <n v="9"/>
    <n v="34.56"/>
  </r>
  <r>
    <x v="62"/>
    <x v="0"/>
    <s v="Внутри сети"/>
    <n v="3.84"/>
    <n v="9"/>
    <n v="34.56"/>
  </r>
  <r>
    <x v="37"/>
    <x v="0"/>
    <s v="На межнар"/>
    <n v="24.5"/>
    <n v="9"/>
    <n v="220.5"/>
  </r>
  <r>
    <x v="19"/>
    <x v="0"/>
    <s v="Внутри сети"/>
    <n v="3.84"/>
    <n v="9"/>
    <n v="34.56"/>
  </r>
  <r>
    <x v="63"/>
    <x v="0"/>
    <s v="Внутри сети"/>
    <n v="3.84"/>
    <n v="9"/>
    <n v="34.56"/>
  </r>
  <r>
    <x v="55"/>
    <x v="0"/>
    <s v="Внутри сети"/>
    <n v="3.84"/>
    <n v="9"/>
    <n v="34.56"/>
  </r>
  <r>
    <x v="33"/>
    <x v="0"/>
    <s v="Внутри сети"/>
    <n v="3.84"/>
    <n v="9"/>
    <n v="34.56"/>
  </r>
  <r>
    <x v="18"/>
    <x v="0"/>
    <s v="На межнар"/>
    <n v="24.5"/>
    <n v="9"/>
    <n v="220.5"/>
  </r>
  <r>
    <x v="54"/>
    <x v="0"/>
    <s v="Внутри сети"/>
    <n v="3.84"/>
    <n v="9"/>
    <n v="34.56"/>
  </r>
  <r>
    <x v="64"/>
    <x v="0"/>
    <s v="Внутри сети"/>
    <n v="3.84"/>
    <n v="9"/>
    <n v="34.56"/>
  </r>
  <r>
    <x v="40"/>
    <x v="0"/>
    <s v="Внутри сети"/>
    <n v="3.84"/>
    <n v="9"/>
    <n v="34.56"/>
  </r>
  <r>
    <x v="65"/>
    <x v="0"/>
    <s v="Внутри сети"/>
    <n v="3.84"/>
    <n v="9"/>
    <n v="34.56"/>
  </r>
  <r>
    <x v="66"/>
    <x v="0"/>
    <s v="Внутри сети"/>
    <n v="3.84"/>
    <n v="9"/>
    <n v="34.56"/>
  </r>
  <r>
    <x v="58"/>
    <x v="0"/>
    <s v="Внутри сети"/>
    <n v="3.84"/>
    <n v="9"/>
    <n v="34.56"/>
  </r>
  <r>
    <x v="42"/>
    <x v="0"/>
    <s v="Внутри сети"/>
    <n v="3.84"/>
    <n v="9"/>
    <n v="34.56"/>
  </r>
  <r>
    <x v="67"/>
    <x v="0"/>
    <s v="Внутри сети"/>
    <n v="3.84"/>
    <n v="9"/>
    <n v="34.56"/>
  </r>
  <r>
    <x v="58"/>
    <x v="0"/>
    <s v="Внутри сети"/>
    <n v="3.84"/>
    <n v="9"/>
    <n v="34.56"/>
  </r>
  <r>
    <x v="22"/>
    <x v="0"/>
    <s v="Внутри сети"/>
    <n v="3.84"/>
    <n v="9"/>
    <n v="34.56"/>
  </r>
  <r>
    <x v="20"/>
    <x v="0"/>
    <s v="Внутри сети"/>
    <n v="4.26"/>
    <n v="10"/>
    <n v="42.599999999999994"/>
  </r>
  <r>
    <x v="41"/>
    <x v="0"/>
    <s v="Внутри сети"/>
    <n v="4.26"/>
    <n v="10"/>
    <n v="42.599999999999994"/>
  </r>
  <r>
    <x v="25"/>
    <x v="0"/>
    <s v="На межнар"/>
    <n v="24.5"/>
    <n v="10"/>
    <n v="245"/>
  </r>
  <r>
    <x v="68"/>
    <x v="0"/>
    <s v="Внутри сети"/>
    <n v="4.26"/>
    <n v="10"/>
    <n v="42.599999999999994"/>
  </r>
  <r>
    <x v="0"/>
    <x v="0"/>
    <s v="Внутри сети"/>
    <n v="4.26"/>
    <n v="10"/>
    <n v="42.599999999999994"/>
  </r>
  <r>
    <x v="69"/>
    <x v="0"/>
    <s v="Внутри сети"/>
    <n v="4.26"/>
    <n v="10"/>
    <n v="42.599999999999994"/>
  </r>
  <r>
    <x v="70"/>
    <x v="0"/>
    <s v="Внутри сети"/>
    <n v="4.26"/>
    <n v="10"/>
    <n v="42.599999999999994"/>
  </r>
  <r>
    <x v="57"/>
    <x v="0"/>
    <s v="Внутри сети"/>
    <n v="4.26"/>
    <n v="10"/>
    <n v="42.599999999999994"/>
  </r>
  <r>
    <x v="71"/>
    <x v="0"/>
    <s v="Внутри сети"/>
    <n v="4.26"/>
    <n v="10"/>
    <n v="42.599999999999994"/>
  </r>
  <r>
    <x v="72"/>
    <x v="0"/>
    <s v="На других операторов"/>
    <n v="7.43"/>
    <n v="10"/>
    <n v="74.3"/>
  </r>
  <r>
    <x v="61"/>
    <x v="0"/>
    <s v="Внутри сети"/>
    <n v="4.26"/>
    <n v="10"/>
    <n v="42.599999999999994"/>
  </r>
  <r>
    <x v="13"/>
    <x v="0"/>
    <s v="Внутри сети"/>
    <n v="4.26"/>
    <n v="10"/>
    <n v="42.599999999999994"/>
  </r>
  <r>
    <x v="7"/>
    <x v="0"/>
    <s v="Внутри сети"/>
    <n v="4.26"/>
    <n v="10"/>
    <n v="42.599999999999994"/>
  </r>
  <r>
    <x v="71"/>
    <x v="0"/>
    <s v="Внутри сети"/>
    <n v="4.26"/>
    <n v="10"/>
    <n v="42.599999999999994"/>
  </r>
  <r>
    <x v="73"/>
    <x v="0"/>
    <s v="Внутри сети"/>
    <n v="4.26"/>
    <n v="10"/>
    <n v="42.599999999999994"/>
  </r>
  <r>
    <x v="22"/>
    <x v="0"/>
    <s v="Внутри сети"/>
    <n v="4.26"/>
    <n v="10"/>
    <n v="42.599999999999994"/>
  </r>
  <r>
    <x v="44"/>
    <x v="0"/>
    <s v="Внутри сети"/>
    <n v="4.6900000000000004"/>
    <n v="11"/>
    <n v="51.59"/>
  </r>
  <r>
    <x v="51"/>
    <x v="0"/>
    <s v="Внутри сети"/>
    <n v="4.6900000000000004"/>
    <n v="11"/>
    <n v="51.59"/>
  </r>
  <r>
    <x v="12"/>
    <x v="0"/>
    <s v="Внутри сети"/>
    <n v="4.6900000000000004"/>
    <n v="11"/>
    <n v="51.59"/>
  </r>
  <r>
    <x v="56"/>
    <x v="0"/>
    <s v="На межнар"/>
    <n v="24.5"/>
    <n v="11"/>
    <n v="269.5"/>
  </r>
  <r>
    <x v="5"/>
    <x v="0"/>
    <s v="Внутри сети"/>
    <n v="4.6900000000000004"/>
    <n v="11"/>
    <n v="51.59"/>
  </r>
  <r>
    <x v="20"/>
    <x v="0"/>
    <s v="Внутри сети"/>
    <n v="4.6900000000000004"/>
    <n v="11"/>
    <n v="51.59"/>
  </r>
  <r>
    <x v="6"/>
    <x v="0"/>
    <s v="Внутри сети"/>
    <n v="4.6900000000000004"/>
    <n v="11"/>
    <n v="51.59"/>
  </r>
  <r>
    <x v="31"/>
    <x v="0"/>
    <s v="На межнар"/>
    <n v="24.5"/>
    <n v="11"/>
    <n v="269.5"/>
  </r>
  <r>
    <x v="11"/>
    <x v="0"/>
    <s v="Внутри сети"/>
    <n v="4.6900000000000004"/>
    <n v="11"/>
    <n v="51.59"/>
  </r>
  <r>
    <x v="67"/>
    <x v="0"/>
    <s v="Внутри сети"/>
    <n v="4.6900000000000004"/>
    <n v="11"/>
    <n v="51.59"/>
  </r>
  <r>
    <x v="24"/>
    <x v="0"/>
    <s v="Внутри сети"/>
    <n v="4.6900000000000004"/>
    <n v="11"/>
    <n v="51.59"/>
  </r>
  <r>
    <x v="74"/>
    <x v="0"/>
    <s v="Внутри сети"/>
    <n v="4.6900000000000004"/>
    <n v="11"/>
    <n v="51.59"/>
  </r>
  <r>
    <x v="29"/>
    <x v="0"/>
    <s v="Внутри сети"/>
    <n v="4.6900000000000004"/>
    <n v="11"/>
    <n v="51.59"/>
  </r>
  <r>
    <x v="49"/>
    <x v="0"/>
    <s v="Внутри сети"/>
    <n v="4.6900000000000004"/>
    <n v="11"/>
    <n v="51.59"/>
  </r>
  <r>
    <x v="75"/>
    <x v="0"/>
    <s v="Внутри сети"/>
    <n v="4.6900000000000004"/>
    <n v="11"/>
    <n v="51.59"/>
  </r>
  <r>
    <x v="25"/>
    <x v="0"/>
    <s v="Внутри сети"/>
    <n v="4.6900000000000004"/>
    <n v="11"/>
    <n v="51.59"/>
  </r>
  <r>
    <x v="14"/>
    <x v="0"/>
    <s v="Внутри сети"/>
    <n v="4.6900000000000004"/>
    <n v="11"/>
    <n v="51.59"/>
  </r>
  <r>
    <x v="76"/>
    <x v="0"/>
    <s v="Внутри сети"/>
    <n v="4.6900000000000004"/>
    <n v="11"/>
    <n v="51.59"/>
  </r>
  <r>
    <x v="68"/>
    <x v="0"/>
    <s v="Внутри сети"/>
    <n v="5.1100000000000003"/>
    <n v="12"/>
    <n v="61.320000000000007"/>
  </r>
  <r>
    <x v="5"/>
    <x v="0"/>
    <s v="Внутри сети"/>
    <n v="5.1100000000000003"/>
    <n v="12"/>
    <n v="61.320000000000007"/>
  </r>
  <r>
    <x v="68"/>
    <x v="0"/>
    <s v="Внутри сети"/>
    <n v="5.1100000000000003"/>
    <n v="12"/>
    <n v="61.320000000000007"/>
  </r>
  <r>
    <x v="0"/>
    <x v="0"/>
    <s v="Внутри сети"/>
    <n v="5.1100000000000003"/>
    <n v="12"/>
    <n v="61.320000000000007"/>
  </r>
  <r>
    <x v="61"/>
    <x v="0"/>
    <s v="Внутри сети"/>
    <n v="5.1100000000000003"/>
    <n v="12"/>
    <n v="61.320000000000007"/>
  </r>
  <r>
    <x v="77"/>
    <x v="0"/>
    <s v="Внутри сети"/>
    <n v="5.1100000000000003"/>
    <n v="12"/>
    <n v="61.320000000000007"/>
  </r>
  <r>
    <x v="78"/>
    <x v="0"/>
    <s v="Внутри сети"/>
    <n v="5.1100000000000003"/>
    <n v="12"/>
    <n v="61.320000000000007"/>
  </r>
  <r>
    <x v="79"/>
    <x v="0"/>
    <s v="Внутри сети"/>
    <n v="5.1100000000000003"/>
    <n v="12"/>
    <n v="61.320000000000007"/>
  </r>
  <r>
    <x v="80"/>
    <x v="0"/>
    <s v="На других операторов"/>
    <n v="14.87"/>
    <n v="12"/>
    <n v="178.44"/>
  </r>
  <r>
    <x v="81"/>
    <x v="0"/>
    <s v="Внутри сети"/>
    <n v="5.1100000000000003"/>
    <n v="12"/>
    <n v="61.320000000000007"/>
  </r>
  <r>
    <x v="82"/>
    <x v="0"/>
    <s v="На других операторов"/>
    <n v="14.87"/>
    <n v="12"/>
    <n v="178.44"/>
  </r>
  <r>
    <x v="83"/>
    <x v="0"/>
    <s v="Внутри сети"/>
    <n v="5.1100000000000003"/>
    <n v="12"/>
    <n v="61.320000000000007"/>
  </r>
  <r>
    <x v="51"/>
    <x v="0"/>
    <s v="Внутри сети"/>
    <n v="5.1100000000000003"/>
    <n v="12"/>
    <n v="61.320000000000007"/>
  </r>
  <r>
    <x v="44"/>
    <x v="0"/>
    <s v="Внутри сети"/>
    <n v="5.1100000000000003"/>
    <n v="12"/>
    <n v="61.320000000000007"/>
  </r>
  <r>
    <x v="6"/>
    <x v="0"/>
    <s v="Внутри сети"/>
    <n v="5.1100000000000003"/>
    <n v="12"/>
    <n v="61.320000000000007"/>
  </r>
  <r>
    <x v="76"/>
    <x v="0"/>
    <s v="Внутри сети"/>
    <n v="5.1100000000000003"/>
    <n v="12"/>
    <n v="61.320000000000007"/>
  </r>
  <r>
    <x v="84"/>
    <x v="0"/>
    <s v="Внутри сети"/>
    <n v="5.54"/>
    <n v="13"/>
    <n v="72.02"/>
  </r>
  <r>
    <x v="85"/>
    <x v="0"/>
    <s v="Внутри сети"/>
    <n v="5.54"/>
    <n v="13"/>
    <n v="72.02"/>
  </r>
  <r>
    <x v="75"/>
    <x v="0"/>
    <s v="Внутри сети"/>
    <n v="5.54"/>
    <n v="13"/>
    <n v="72.02"/>
  </r>
  <r>
    <x v="19"/>
    <x v="0"/>
    <s v="Внутри сети"/>
    <n v="5.54"/>
    <n v="13"/>
    <n v="72.02"/>
  </r>
  <r>
    <x v="78"/>
    <x v="0"/>
    <s v="Внутри сети"/>
    <n v="5.54"/>
    <n v="13"/>
    <n v="72.02"/>
  </r>
  <r>
    <x v="38"/>
    <x v="0"/>
    <s v="Внутри сети"/>
    <n v="5.54"/>
    <n v="13"/>
    <n v="72.02"/>
  </r>
  <r>
    <x v="55"/>
    <x v="0"/>
    <s v="Внутри сети"/>
    <n v="5.97"/>
    <n v="14"/>
    <n v="83.58"/>
  </r>
  <r>
    <x v="6"/>
    <x v="0"/>
    <s v="Внутри сети"/>
    <n v="5.97"/>
    <n v="14"/>
    <n v="83.58"/>
  </r>
  <r>
    <x v="83"/>
    <x v="0"/>
    <s v="На городской"/>
    <n v="14.87"/>
    <n v="14"/>
    <n v="208.17999999999998"/>
  </r>
  <r>
    <x v="64"/>
    <x v="0"/>
    <s v="Внутри сети"/>
    <n v="5.97"/>
    <n v="14"/>
    <n v="83.58"/>
  </r>
  <r>
    <x v="36"/>
    <x v="0"/>
    <s v="Внутри сети"/>
    <n v="5.97"/>
    <n v="14"/>
    <n v="83.58"/>
  </r>
  <r>
    <x v="35"/>
    <x v="0"/>
    <s v="Внутри сети"/>
    <n v="5.97"/>
    <n v="14"/>
    <n v="83.58"/>
  </r>
  <r>
    <x v="60"/>
    <x v="0"/>
    <s v="Внутри сети"/>
    <n v="5.97"/>
    <n v="14"/>
    <n v="83.58"/>
  </r>
  <r>
    <x v="86"/>
    <x v="0"/>
    <s v="Внутри сети"/>
    <n v="5.97"/>
    <n v="14"/>
    <n v="83.58"/>
  </r>
  <r>
    <x v="87"/>
    <x v="0"/>
    <s v="Внутри сети"/>
    <n v="5.97"/>
    <n v="14"/>
    <n v="83.58"/>
  </r>
  <r>
    <x v="63"/>
    <x v="0"/>
    <s v="Внутри сети"/>
    <n v="6.39"/>
    <n v="15"/>
    <n v="95.85"/>
  </r>
  <r>
    <x v="56"/>
    <x v="0"/>
    <s v="Внутри сети"/>
    <n v="6.39"/>
    <n v="15"/>
    <n v="95.85"/>
  </r>
  <r>
    <x v="20"/>
    <x v="0"/>
    <s v="Внутри сети"/>
    <n v="6.39"/>
    <n v="15"/>
    <n v="95.85"/>
  </r>
  <r>
    <x v="16"/>
    <x v="0"/>
    <s v="Внутри сети"/>
    <n v="6.39"/>
    <n v="15"/>
    <n v="95.85"/>
  </r>
  <r>
    <x v="56"/>
    <x v="0"/>
    <s v="Внутри сети"/>
    <n v="6.39"/>
    <n v="15"/>
    <n v="95.85"/>
  </r>
  <r>
    <x v="68"/>
    <x v="0"/>
    <s v="Внутри сети"/>
    <n v="6.39"/>
    <n v="15"/>
    <n v="95.85"/>
  </r>
  <r>
    <x v="76"/>
    <x v="0"/>
    <s v="Внутри сети"/>
    <n v="6.39"/>
    <n v="15"/>
    <n v="95.85"/>
  </r>
  <r>
    <x v="88"/>
    <x v="0"/>
    <s v="Внутри сети"/>
    <n v="6.39"/>
    <n v="15"/>
    <n v="95.85"/>
  </r>
  <r>
    <x v="89"/>
    <x v="0"/>
    <s v="Внутри сети"/>
    <n v="6.39"/>
    <n v="15"/>
    <n v="95.85"/>
  </r>
  <r>
    <x v="82"/>
    <x v="0"/>
    <s v="Внутри сети"/>
    <n v="6.39"/>
    <n v="15"/>
    <n v="95.85"/>
  </r>
  <r>
    <x v="80"/>
    <x v="0"/>
    <s v="Внутри сети"/>
    <n v="6.39"/>
    <n v="15"/>
    <n v="95.85"/>
  </r>
  <r>
    <x v="64"/>
    <x v="0"/>
    <s v="Внутри сети"/>
    <n v="6.39"/>
    <n v="15"/>
    <n v="95.85"/>
  </r>
  <r>
    <x v="90"/>
    <x v="0"/>
    <s v="Внутри сети"/>
    <n v="6.39"/>
    <n v="15"/>
    <n v="95.85"/>
  </r>
  <r>
    <x v="69"/>
    <x v="0"/>
    <s v="Внутри сети"/>
    <n v="6.39"/>
    <n v="15"/>
    <n v="95.85"/>
  </r>
  <r>
    <x v="41"/>
    <x v="0"/>
    <s v="Внутри сети"/>
    <n v="6.82"/>
    <n v="16"/>
    <n v="109.12"/>
  </r>
  <r>
    <x v="25"/>
    <x v="0"/>
    <s v="Внутри сети"/>
    <n v="6.82"/>
    <n v="16"/>
    <n v="109.12"/>
  </r>
  <r>
    <x v="91"/>
    <x v="0"/>
    <s v="Внутри сети"/>
    <n v="6.82"/>
    <n v="16"/>
    <n v="109.12"/>
  </r>
  <r>
    <x v="90"/>
    <x v="0"/>
    <s v="Внутри сети"/>
    <n v="6.82"/>
    <n v="16"/>
    <n v="109.12"/>
  </r>
  <r>
    <x v="92"/>
    <x v="0"/>
    <s v="Внутри сети"/>
    <n v="6.82"/>
    <n v="16"/>
    <n v="109.12"/>
  </r>
  <r>
    <x v="93"/>
    <x v="0"/>
    <s v="На других операторов"/>
    <n v="14.87"/>
    <n v="16"/>
    <n v="237.92"/>
  </r>
  <r>
    <x v="73"/>
    <x v="0"/>
    <s v="Внутри сети"/>
    <n v="6.82"/>
    <n v="16"/>
    <n v="109.12"/>
  </r>
  <r>
    <x v="3"/>
    <x v="0"/>
    <s v="Внутри сети"/>
    <n v="6.82"/>
    <n v="16"/>
    <n v="109.12"/>
  </r>
  <r>
    <x v="72"/>
    <x v="0"/>
    <s v="Внутри сети"/>
    <n v="6.82"/>
    <n v="16"/>
    <n v="109.12"/>
  </r>
  <r>
    <x v="45"/>
    <x v="0"/>
    <s v="Внутри сети"/>
    <n v="6.82"/>
    <n v="16"/>
    <n v="109.12"/>
  </r>
  <r>
    <x v="51"/>
    <x v="0"/>
    <s v="Внутри сети"/>
    <n v="7.25"/>
    <n v="17"/>
    <n v="123.25"/>
  </r>
  <r>
    <x v="1"/>
    <x v="0"/>
    <s v="На других операторов"/>
    <n v="14.87"/>
    <n v="17"/>
    <n v="252.79"/>
  </r>
  <r>
    <x v="4"/>
    <x v="0"/>
    <s v="На городской"/>
    <n v="14.87"/>
    <n v="17"/>
    <n v="252.79"/>
  </r>
  <r>
    <x v="94"/>
    <x v="0"/>
    <s v="Внутри сети"/>
    <n v="7.25"/>
    <n v="17"/>
    <n v="123.25"/>
  </r>
  <r>
    <x v="83"/>
    <x v="0"/>
    <s v="Внутри сети"/>
    <n v="7.25"/>
    <n v="17"/>
    <n v="123.25"/>
  </r>
  <r>
    <x v="92"/>
    <x v="0"/>
    <s v="Внутри сети"/>
    <n v="7.25"/>
    <n v="17"/>
    <n v="123.25"/>
  </r>
  <r>
    <x v="29"/>
    <x v="0"/>
    <s v="Внутри сети"/>
    <n v="7.25"/>
    <n v="17"/>
    <n v="123.25"/>
  </r>
  <r>
    <x v="42"/>
    <x v="0"/>
    <s v="На городской"/>
    <n v="14.87"/>
    <n v="18"/>
    <n v="267.65999999999997"/>
  </r>
  <r>
    <x v="87"/>
    <x v="0"/>
    <s v="Внутри сети"/>
    <n v="7.67"/>
    <n v="18"/>
    <n v="138.06"/>
  </r>
  <r>
    <x v="77"/>
    <x v="0"/>
    <s v="Внутри сети"/>
    <n v="7.67"/>
    <n v="18"/>
    <n v="138.06"/>
  </r>
  <r>
    <x v="74"/>
    <x v="0"/>
    <s v="Внутри сети"/>
    <n v="7.67"/>
    <n v="18"/>
    <n v="138.06"/>
  </r>
  <r>
    <x v="53"/>
    <x v="0"/>
    <s v="На других операторов"/>
    <n v="14.87"/>
    <n v="18"/>
    <n v="267.65999999999997"/>
  </r>
  <r>
    <x v="26"/>
    <x v="0"/>
    <s v="Внутри сети"/>
    <n v="7.67"/>
    <n v="18"/>
    <n v="138.06"/>
  </r>
  <r>
    <x v="9"/>
    <x v="0"/>
    <s v="Внутри сети"/>
    <n v="8.1"/>
    <n v="19"/>
    <n v="153.9"/>
  </r>
  <r>
    <x v="62"/>
    <x v="0"/>
    <s v="Другое"/>
    <n v="14.01"/>
    <n v="19"/>
    <n v="266.19"/>
  </r>
  <r>
    <x v="27"/>
    <x v="0"/>
    <s v="Другое"/>
    <n v="0"/>
    <n v="19"/>
    <n v="0"/>
  </r>
  <r>
    <x v="8"/>
    <x v="0"/>
    <s v="Внутри сети"/>
    <n v="8.1"/>
    <n v="19"/>
    <n v="153.9"/>
  </r>
  <r>
    <x v="34"/>
    <x v="0"/>
    <s v="Внутри сети"/>
    <n v="8.52"/>
    <n v="20"/>
    <n v="170.39999999999998"/>
  </r>
  <r>
    <x v="86"/>
    <x v="0"/>
    <s v="Другое"/>
    <n v="0"/>
    <n v="20"/>
    <n v="0"/>
  </r>
  <r>
    <x v="81"/>
    <x v="0"/>
    <s v="Внутри сети"/>
    <n v="8.52"/>
    <n v="20"/>
    <n v="170.39999999999998"/>
  </r>
  <r>
    <x v="59"/>
    <x v="0"/>
    <s v="Внутри сети"/>
    <n v="8.52"/>
    <n v="20"/>
    <n v="170.39999999999998"/>
  </r>
  <r>
    <x v="69"/>
    <x v="0"/>
    <s v="Внутри сети"/>
    <n v="8.52"/>
    <n v="20"/>
    <n v="170.39999999999998"/>
  </r>
  <r>
    <x v="15"/>
    <x v="0"/>
    <s v="Внутри сети"/>
    <n v="8.9499999999999993"/>
    <n v="21"/>
    <n v="187.95"/>
  </r>
  <r>
    <x v="65"/>
    <x v="0"/>
    <s v="Внутри сети"/>
    <n v="8.9499999999999993"/>
    <n v="21"/>
    <n v="187.95"/>
  </r>
  <r>
    <x v="23"/>
    <x v="0"/>
    <s v="На городской"/>
    <n v="22.3"/>
    <n v="21"/>
    <n v="468.3"/>
  </r>
  <r>
    <x v="68"/>
    <x v="0"/>
    <s v="Внутри сети"/>
    <n v="8.9499999999999993"/>
    <n v="21"/>
    <n v="187.95"/>
  </r>
  <r>
    <x v="14"/>
    <x v="0"/>
    <s v="Внутри сети"/>
    <n v="8.9499999999999993"/>
    <n v="21"/>
    <n v="187.95"/>
  </r>
  <r>
    <x v="79"/>
    <x v="0"/>
    <s v="Внутри сети"/>
    <n v="9.3800000000000008"/>
    <n v="22"/>
    <n v="206.36"/>
  </r>
  <r>
    <x v="66"/>
    <x v="0"/>
    <s v="Внутри сети"/>
    <n v="9.3800000000000008"/>
    <n v="22"/>
    <n v="206.36"/>
  </r>
  <r>
    <x v="78"/>
    <x v="0"/>
    <s v="Внутри сети"/>
    <n v="2.5"/>
    <n v="22"/>
    <n v="55"/>
  </r>
  <r>
    <x v="84"/>
    <x v="0"/>
    <s v="Внутри сети"/>
    <n v="9.3800000000000008"/>
    <n v="22"/>
    <n v="206.36"/>
  </r>
  <r>
    <x v="70"/>
    <x v="0"/>
    <s v="Внутри сети"/>
    <n v="9.3800000000000008"/>
    <n v="22"/>
    <n v="206.36"/>
  </r>
  <r>
    <x v="21"/>
    <x v="0"/>
    <s v="Внутри сети"/>
    <n v="9.8000000000000007"/>
    <n v="23"/>
    <n v="225.4"/>
  </r>
  <r>
    <x v="95"/>
    <x v="0"/>
    <s v="Внутри сети"/>
    <n v="9.8000000000000007"/>
    <n v="23"/>
    <n v="225.4"/>
  </r>
  <r>
    <x v="85"/>
    <x v="0"/>
    <s v="Внутри сети"/>
    <n v="9.8000000000000007"/>
    <n v="23"/>
    <n v="225.4"/>
  </r>
  <r>
    <x v="46"/>
    <x v="0"/>
    <s v="Внутри сети"/>
    <n v="10.23"/>
    <n v="24"/>
    <n v="245.52"/>
  </r>
  <r>
    <x v="77"/>
    <x v="0"/>
    <s v="Внутри сети"/>
    <n v="10.23"/>
    <n v="24"/>
    <n v="245.52"/>
  </r>
  <r>
    <x v="55"/>
    <x v="0"/>
    <s v="Внутри сети"/>
    <n v="10.23"/>
    <n v="24"/>
    <n v="245.52"/>
  </r>
  <r>
    <x v="38"/>
    <x v="0"/>
    <s v="Внутри сети"/>
    <n v="10.66"/>
    <n v="25"/>
    <n v="266.5"/>
  </r>
  <r>
    <x v="36"/>
    <x v="0"/>
    <s v="На других операторов"/>
    <n v="22.3"/>
    <n v="26"/>
    <n v="579.80000000000007"/>
  </r>
  <r>
    <x v="69"/>
    <x v="0"/>
    <s v="Внутри сети"/>
    <n v="11.08"/>
    <n v="26"/>
    <n v="288.08"/>
  </r>
  <r>
    <x v="2"/>
    <x v="0"/>
    <s v="На других операторов"/>
    <n v="22.3"/>
    <n v="27"/>
    <n v="602.1"/>
  </r>
  <r>
    <x v="95"/>
    <x v="0"/>
    <s v="Внутри сети"/>
    <n v="11.51"/>
    <n v="27"/>
    <n v="310.77"/>
  </r>
  <r>
    <x v="93"/>
    <x v="0"/>
    <s v="Внутри сети"/>
    <n v="11.51"/>
    <n v="27"/>
    <n v="310.77"/>
  </r>
  <r>
    <x v="56"/>
    <x v="0"/>
    <s v="Внутри сети"/>
    <n v="11.51"/>
    <n v="27"/>
    <n v="310.77"/>
  </r>
  <r>
    <x v="70"/>
    <x v="0"/>
    <s v="Внутри сети"/>
    <n v="11.51"/>
    <n v="27"/>
    <n v="310.77"/>
  </r>
  <r>
    <x v="63"/>
    <x v="0"/>
    <s v="Внутри сети"/>
    <n v="11.93"/>
    <n v="28"/>
    <n v="334.03999999999996"/>
  </r>
  <r>
    <x v="76"/>
    <x v="0"/>
    <s v="Внутри сети"/>
    <n v="11.93"/>
    <n v="28"/>
    <n v="334.03999999999996"/>
  </r>
  <r>
    <x v="94"/>
    <x v="0"/>
    <s v="Внутри сети"/>
    <n v="14.06"/>
    <n v="33"/>
    <n v="463.98"/>
  </r>
  <r>
    <x v="96"/>
    <x v="1"/>
    <s v="Внутри сети"/>
    <n v="0.43"/>
    <n v="1"/>
    <n v="0.43"/>
  </r>
  <r>
    <x v="97"/>
    <x v="1"/>
    <s v="Внутри сети"/>
    <n v="0.43"/>
    <n v="1"/>
    <n v="0.43"/>
  </r>
  <r>
    <x v="98"/>
    <x v="1"/>
    <s v="Внутри сети"/>
    <n v="0.43"/>
    <n v="1"/>
    <n v="0.43"/>
  </r>
  <r>
    <x v="99"/>
    <x v="1"/>
    <s v="Внутри сети"/>
    <n v="0.43"/>
    <n v="1"/>
    <n v="0.43"/>
  </r>
  <r>
    <x v="100"/>
    <x v="1"/>
    <s v="Внутри сети"/>
    <n v="1.28"/>
    <n v="3"/>
    <n v="3.84"/>
  </r>
  <r>
    <x v="101"/>
    <x v="1"/>
    <s v="Внутри сети"/>
    <n v="1.28"/>
    <n v="3"/>
    <n v="3.84"/>
  </r>
  <r>
    <x v="102"/>
    <x v="1"/>
    <s v="Внутри сети"/>
    <n v="1.28"/>
    <n v="3"/>
    <n v="3.84"/>
  </r>
  <r>
    <x v="103"/>
    <x v="1"/>
    <s v="Внутри сети"/>
    <n v="1.28"/>
    <n v="3"/>
    <n v="3.84"/>
  </r>
  <r>
    <x v="102"/>
    <x v="1"/>
    <s v="Внутри сети"/>
    <n v="1.7"/>
    <n v="4"/>
    <n v="6.8"/>
  </r>
  <r>
    <x v="99"/>
    <x v="1"/>
    <s v="Внутри сети"/>
    <n v="2.13"/>
    <n v="5"/>
    <n v="10.649999999999999"/>
  </r>
  <r>
    <x v="104"/>
    <x v="1"/>
    <s v="Внутри сети"/>
    <n v="2.98"/>
    <n v="7"/>
    <n v="20.86"/>
  </r>
  <r>
    <x v="105"/>
    <x v="1"/>
    <s v="Внутри сети"/>
    <n v="2.98"/>
    <n v="7"/>
    <n v="20.86"/>
  </r>
  <r>
    <x v="106"/>
    <x v="1"/>
    <s v="Внутри сети"/>
    <n v="2.98"/>
    <n v="7"/>
    <n v="20.86"/>
  </r>
  <r>
    <x v="107"/>
    <x v="1"/>
    <s v="На других операторов"/>
    <n v="7.84"/>
    <n v="7"/>
    <n v="54.879999999999995"/>
  </r>
  <r>
    <x v="108"/>
    <x v="1"/>
    <s v="Внутри сети"/>
    <n v="2.98"/>
    <n v="7"/>
    <n v="20.86"/>
  </r>
  <r>
    <x v="109"/>
    <x v="1"/>
    <s v="Внутри сети"/>
    <n v="2.98"/>
    <n v="7"/>
    <n v="20.86"/>
  </r>
  <r>
    <x v="110"/>
    <x v="1"/>
    <s v="Внутри сети"/>
    <n v="3.41"/>
    <n v="8"/>
    <n v="27.28"/>
  </r>
  <r>
    <x v="111"/>
    <x v="1"/>
    <s v="Внутри сети"/>
    <n v="3.84"/>
    <n v="9"/>
    <n v="34.56"/>
  </r>
  <r>
    <x v="112"/>
    <x v="1"/>
    <s v="Внутри сети"/>
    <n v="3.84"/>
    <n v="9"/>
    <n v="34.56"/>
  </r>
  <r>
    <x v="104"/>
    <x v="1"/>
    <s v="Внутри сети"/>
    <n v="3.84"/>
    <n v="9"/>
    <n v="34.56"/>
  </r>
  <r>
    <x v="105"/>
    <x v="1"/>
    <s v="Внутри сети"/>
    <n v="4.26"/>
    <n v="10"/>
    <n v="42.599999999999994"/>
  </r>
  <r>
    <x v="99"/>
    <x v="1"/>
    <s v="Внутри сети"/>
    <n v="4.26"/>
    <n v="10"/>
    <n v="42.599999999999994"/>
  </r>
  <r>
    <x v="113"/>
    <x v="1"/>
    <s v="Внутри сети"/>
    <n v="2.2799999999999998"/>
    <n v="10"/>
    <n v="22.799999999999997"/>
  </r>
  <r>
    <x v="114"/>
    <x v="1"/>
    <s v="Внутри сети"/>
    <n v="4.26"/>
    <n v="10"/>
    <n v="42.599999999999994"/>
  </r>
  <r>
    <x v="107"/>
    <x v="1"/>
    <s v="На других операторов"/>
    <n v="15.68"/>
    <n v="13"/>
    <n v="203.84"/>
  </r>
  <r>
    <x v="112"/>
    <x v="1"/>
    <s v="Внутри сети"/>
    <n v="5.54"/>
    <n v="13"/>
    <n v="72.02"/>
  </r>
  <r>
    <x v="115"/>
    <x v="1"/>
    <s v="Внутри сети"/>
    <n v="5.97"/>
    <n v="14"/>
    <n v="83.58"/>
  </r>
  <r>
    <x v="116"/>
    <x v="1"/>
    <s v="Внутри сети"/>
    <n v="5.97"/>
    <n v="14"/>
    <n v="83.58"/>
  </r>
  <r>
    <x v="117"/>
    <x v="1"/>
    <s v="Внутри сети"/>
    <n v="5.97"/>
    <n v="14"/>
    <n v="83.58"/>
  </r>
  <r>
    <x v="118"/>
    <x v="1"/>
    <s v="Внутри сети"/>
    <n v="7.25"/>
    <n v="17"/>
    <n v="123.25"/>
  </r>
  <r>
    <x v="119"/>
    <x v="1"/>
    <s v="Внутри сети"/>
    <n v="7.25"/>
    <n v="17"/>
    <n v="123.25"/>
  </r>
  <r>
    <x v="107"/>
    <x v="1"/>
    <s v="На других операторов"/>
    <n v="15.68"/>
    <n v="17"/>
    <n v="266.56"/>
  </r>
  <r>
    <x v="117"/>
    <x v="1"/>
    <s v="Внутри сети"/>
    <n v="7.67"/>
    <n v="18"/>
    <n v="138.06"/>
  </r>
  <r>
    <x v="120"/>
    <x v="1"/>
    <s v="Внутри сети"/>
    <n v="4.33"/>
    <n v="19"/>
    <n v="82.27"/>
  </r>
  <r>
    <x v="121"/>
    <x v="1"/>
    <s v="Внутри сети"/>
    <n v="4.33"/>
    <n v="19"/>
    <n v="82.27"/>
  </r>
  <r>
    <x v="106"/>
    <x v="1"/>
    <s v="Внутри сети"/>
    <n v="8.1"/>
    <n v="19"/>
    <n v="153.9"/>
  </r>
  <r>
    <x v="105"/>
    <x v="1"/>
    <s v="Внутри сети"/>
    <n v="4.33"/>
    <n v="19"/>
    <n v="82.27"/>
  </r>
  <r>
    <x v="102"/>
    <x v="1"/>
    <s v="Внутри сети"/>
    <n v="5.0199999999999996"/>
    <n v="22"/>
    <n v="110.44"/>
  </r>
  <r>
    <x v="110"/>
    <x v="1"/>
    <s v="Внутри сети"/>
    <n v="9.3800000000000008"/>
    <n v="22"/>
    <n v="206.36"/>
  </r>
  <r>
    <x v="122"/>
    <x v="1"/>
    <s v="Внутри сети"/>
    <n v="10.23"/>
    <n v="24"/>
    <n v="245.52"/>
  </r>
  <r>
    <x v="123"/>
    <x v="1"/>
    <s v="Внутри сети"/>
    <n v="10.23"/>
    <n v="24"/>
    <n v="245.52"/>
  </r>
  <r>
    <x v="119"/>
    <x v="1"/>
    <s v="Внутри сети"/>
    <n v="5.47"/>
    <n v="24"/>
    <n v="131.28"/>
  </r>
  <r>
    <x v="115"/>
    <x v="1"/>
    <s v="На городской"/>
    <n v="23.52"/>
    <n v="26"/>
    <n v="611.52"/>
  </r>
  <r>
    <x v="101"/>
    <x v="1"/>
    <s v="Внутри сети"/>
    <n v="6.38"/>
    <n v="28"/>
    <n v="178.64"/>
  </r>
  <r>
    <x v="124"/>
    <x v="1"/>
    <s v="Внутри сети"/>
    <n v="13.21"/>
    <n v="31"/>
    <n v="409.51000000000005"/>
  </r>
  <r>
    <x v="110"/>
    <x v="1"/>
    <s v="Внутри сети"/>
    <n v="13.64"/>
    <n v="32"/>
    <n v="436.48"/>
  </r>
  <r>
    <x v="106"/>
    <x v="1"/>
    <s v="Внутри сети"/>
    <n v="13.64"/>
    <n v="32"/>
    <n v="436.48"/>
  </r>
  <r>
    <x v="125"/>
    <x v="1"/>
    <s v="Внутри сети"/>
    <n v="8.2100000000000009"/>
    <n v="36"/>
    <n v="295.56000000000006"/>
  </r>
  <r>
    <x v="104"/>
    <x v="1"/>
    <s v="Внутри сети"/>
    <n v="8.89"/>
    <n v="39"/>
    <n v="346.71000000000004"/>
  </r>
  <r>
    <x v="111"/>
    <x v="1"/>
    <s v="Внутри сети"/>
    <n v="8.89"/>
    <n v="39"/>
    <n v="346.71000000000004"/>
  </r>
  <r>
    <x v="97"/>
    <x v="1"/>
    <s v="Внутри сети"/>
    <n v="17.47"/>
    <n v="41"/>
    <n v="716.27"/>
  </r>
  <r>
    <x v="126"/>
    <x v="1"/>
    <s v="Внутри сети"/>
    <n v="17.47"/>
    <n v="41"/>
    <n v="716.27"/>
  </r>
  <r>
    <x v="96"/>
    <x v="1"/>
    <s v="Внутри сети"/>
    <n v="18.329999999999998"/>
    <n v="43"/>
    <n v="788.18999999999994"/>
  </r>
  <r>
    <x v="112"/>
    <x v="1"/>
    <s v="Внутри сети"/>
    <n v="21.31"/>
    <n v="50"/>
    <n v="1065.5"/>
  </r>
  <r>
    <x v="125"/>
    <x v="1"/>
    <s v="Внутри сети"/>
    <n v="22.59"/>
    <n v="53"/>
    <n v="1197.27"/>
  </r>
  <r>
    <x v="100"/>
    <x v="1"/>
    <s v="Внутри сети"/>
    <n v="23.01"/>
    <n v="54"/>
    <n v="1242.5400000000002"/>
  </r>
  <r>
    <x v="120"/>
    <x v="1"/>
    <s v="Внутри сети"/>
    <n v="25.15"/>
    <n v="59"/>
    <n v="1483.85"/>
  </r>
  <r>
    <x v="119"/>
    <x v="1"/>
    <s v="Внутри сети"/>
    <n v="14.14"/>
    <n v="62"/>
    <n v="876.68000000000006"/>
  </r>
  <r>
    <x v="101"/>
    <x v="1"/>
    <s v="Внутри сети"/>
    <n v="28.13"/>
    <n v="66"/>
    <n v="1856.58"/>
  </r>
  <r>
    <x v="127"/>
    <x v="1"/>
    <s v="Внутри сети"/>
    <n v="29.83"/>
    <n v="70"/>
    <n v="2088.1"/>
  </r>
  <r>
    <x v="123"/>
    <x v="1"/>
    <s v="Внутри сети"/>
    <n v="16.87"/>
    <n v="74"/>
    <n v="1248.3800000000001"/>
  </r>
  <r>
    <x v="127"/>
    <x v="1"/>
    <s v="Внутри сети"/>
    <n v="32.39"/>
    <n v="76"/>
    <n v="2461.64"/>
  </r>
  <r>
    <x v="124"/>
    <x v="1"/>
    <s v="На других операторов"/>
    <n v="62.72"/>
    <n v="79"/>
    <n v="4954.88"/>
  </r>
  <r>
    <x v="124"/>
    <x v="1"/>
    <s v="Внутри сети"/>
    <n v="18.47"/>
    <n v="81"/>
    <n v="1496.07"/>
  </r>
  <r>
    <x v="116"/>
    <x v="1"/>
    <s v="Внутри сети"/>
    <n v="34.950000000000003"/>
    <n v="82"/>
    <n v="2865.9"/>
  </r>
  <r>
    <x v="123"/>
    <x v="1"/>
    <s v="Внутри сети"/>
    <n v="21.2"/>
    <n v="93"/>
    <n v="1971.6"/>
  </r>
  <r>
    <x v="128"/>
    <x v="2"/>
    <s v="Внутри сети"/>
    <n v="0.43"/>
    <n v="1"/>
    <n v="0.43"/>
  </r>
  <r>
    <x v="129"/>
    <x v="2"/>
    <s v="Внутри сети"/>
    <n v="0.85"/>
    <n v="2"/>
    <n v="1.7"/>
  </r>
  <r>
    <x v="130"/>
    <x v="2"/>
    <s v="Внутри сети"/>
    <n v="0.85"/>
    <n v="2"/>
    <n v="1.7"/>
  </r>
  <r>
    <x v="131"/>
    <x v="2"/>
    <s v="Внутри сети"/>
    <n v="2.13"/>
    <n v="5"/>
    <n v="10.649999999999999"/>
  </r>
  <r>
    <x v="131"/>
    <x v="2"/>
    <s v="Внутри сети"/>
    <n v="2.56"/>
    <n v="6"/>
    <n v="15.36"/>
  </r>
  <r>
    <x v="132"/>
    <x v="2"/>
    <s v="Внутри сети"/>
    <n v="2.56"/>
    <n v="6"/>
    <n v="15.36"/>
  </r>
  <r>
    <x v="133"/>
    <x v="2"/>
    <s v="Внутри сети"/>
    <n v="3.84"/>
    <n v="9"/>
    <n v="34.56"/>
  </r>
  <r>
    <x v="134"/>
    <x v="2"/>
    <s v="Внутри сети"/>
    <n v="4.26"/>
    <n v="10"/>
    <n v="42.599999999999994"/>
  </r>
  <r>
    <x v="135"/>
    <x v="2"/>
    <s v="Внутри сети"/>
    <n v="4.26"/>
    <n v="10"/>
    <n v="42.599999999999994"/>
  </r>
  <r>
    <x v="136"/>
    <x v="2"/>
    <s v="Внутри сети"/>
    <n v="5.1100000000000003"/>
    <n v="12"/>
    <n v="61.320000000000007"/>
  </r>
  <r>
    <x v="129"/>
    <x v="2"/>
    <s v="Внутри сети"/>
    <n v="5.54"/>
    <n v="13"/>
    <n v="72.02"/>
  </r>
  <r>
    <x v="137"/>
    <x v="2"/>
    <s v="Внутри сети"/>
    <n v="5.97"/>
    <n v="14"/>
    <n v="83.58"/>
  </r>
  <r>
    <x v="138"/>
    <x v="2"/>
    <s v="Внутри сети"/>
    <n v="6.39"/>
    <n v="15"/>
    <n v="95.85"/>
  </r>
  <r>
    <x v="139"/>
    <x v="2"/>
    <s v="Внутри сети"/>
    <n v="7.67"/>
    <n v="18"/>
    <n v="138.06"/>
  </r>
  <r>
    <x v="132"/>
    <x v="2"/>
    <s v="Внутри сети"/>
    <n v="8.52"/>
    <n v="20"/>
    <n v="170.39999999999998"/>
  </r>
  <r>
    <x v="140"/>
    <x v="2"/>
    <s v="Внутри сети"/>
    <n v="8.9499999999999993"/>
    <n v="21"/>
    <n v="187.95"/>
  </r>
  <r>
    <x v="137"/>
    <x v="2"/>
    <s v="Внутри сети"/>
    <n v="9.3800000000000008"/>
    <n v="22"/>
    <n v="206.36"/>
  </r>
  <r>
    <x v="132"/>
    <x v="2"/>
    <s v="Внутри сети"/>
    <n v="9.8000000000000007"/>
    <n v="23"/>
    <n v="225.4"/>
  </r>
  <r>
    <x v="141"/>
    <x v="2"/>
    <s v="Внутри сети"/>
    <n v="9.8000000000000007"/>
    <n v="23"/>
    <n v="225.4"/>
  </r>
  <r>
    <x v="141"/>
    <x v="2"/>
    <s v="Внутри сети"/>
    <n v="10.23"/>
    <n v="24"/>
    <n v="245.52"/>
  </r>
  <r>
    <x v="130"/>
    <x v="2"/>
    <s v="Внутри сети"/>
    <n v="11.51"/>
    <n v="27"/>
    <n v="310.77"/>
  </r>
  <r>
    <x v="135"/>
    <x v="2"/>
    <s v="Другое"/>
    <n v="0"/>
    <n v="31"/>
    <n v="0"/>
  </r>
  <r>
    <x v="142"/>
    <x v="2"/>
    <s v="Внутри сети"/>
    <n v="15.77"/>
    <n v="37"/>
    <n v="583.49"/>
  </r>
  <r>
    <x v="131"/>
    <x v="2"/>
    <s v="Внутри сети"/>
    <n v="18.75"/>
    <n v="44"/>
    <n v="825"/>
  </r>
  <r>
    <x v="143"/>
    <x v="2"/>
    <s v="Внутри сети"/>
    <n v="18.75"/>
    <n v="44"/>
    <n v="825"/>
  </r>
  <r>
    <x v="141"/>
    <x v="2"/>
    <s v="Внутри сети"/>
    <n v="21.74"/>
    <n v="51"/>
    <n v="1108.74"/>
  </r>
  <r>
    <x v="131"/>
    <x v="2"/>
    <s v="Внутри сети"/>
    <n v="24.72"/>
    <n v="58"/>
    <n v="1433.76"/>
  </r>
  <r>
    <x v="135"/>
    <x v="2"/>
    <s v="Внутри сети"/>
    <n v="29.41"/>
    <n v="69"/>
    <n v="2029.29"/>
  </r>
  <r>
    <x v="144"/>
    <x v="2"/>
    <s v="Внутри сети"/>
    <n v="40.49"/>
    <n v="95"/>
    <n v="3846.55"/>
  </r>
  <r>
    <x v="145"/>
    <x v="3"/>
    <s v="Внутри сети"/>
    <n v="3.25"/>
    <n v="8"/>
    <n v="26"/>
  </r>
  <r>
    <x v="146"/>
    <x v="3"/>
    <s v="Внутри сети"/>
    <n v="5.69"/>
    <n v="14"/>
    <n v="79.660000000000011"/>
  </r>
  <r>
    <x v="145"/>
    <x v="3"/>
    <s v="Внутри сети"/>
    <n v="5.69"/>
    <n v="14"/>
    <n v="79.660000000000011"/>
  </r>
  <r>
    <x v="147"/>
    <x v="3"/>
    <s v="Внутри сети"/>
    <n v="6.5"/>
    <n v="16"/>
    <n v="104"/>
  </r>
  <r>
    <x v="148"/>
    <x v="3"/>
    <s v="Внутри сети"/>
    <n v="6.5"/>
    <n v="16"/>
    <n v="104"/>
  </r>
  <r>
    <x v="149"/>
    <x v="3"/>
    <s v="Внутри сети"/>
    <n v="8.5299999999999994"/>
    <n v="21"/>
    <n v="179.13"/>
  </r>
  <r>
    <x v="150"/>
    <x v="3"/>
    <s v="Внутри сети"/>
    <n v="8.5299999999999994"/>
    <n v="21"/>
    <n v="179.13"/>
  </r>
  <r>
    <x v="151"/>
    <x v="3"/>
    <s v="Внутри сети"/>
    <n v="9.75"/>
    <n v="24"/>
    <n v="234"/>
  </r>
  <r>
    <x v="146"/>
    <x v="3"/>
    <s v="Внутри сети"/>
    <n v="9.75"/>
    <n v="24"/>
    <n v="234"/>
  </r>
  <r>
    <x v="148"/>
    <x v="3"/>
    <s v="Внутри сети"/>
    <n v="9.75"/>
    <n v="24"/>
    <n v="234"/>
  </r>
  <r>
    <x v="145"/>
    <x v="3"/>
    <s v="Внутри сети"/>
    <n v="12.19"/>
    <n v="30"/>
    <n v="365.7"/>
  </r>
  <r>
    <x v="149"/>
    <x v="3"/>
    <s v="Внутри сети"/>
    <n v="18.29"/>
    <n v="45"/>
    <n v="823.05"/>
  </r>
  <r>
    <x v="152"/>
    <x v="3"/>
    <s v="Внутри сети"/>
    <n v="18.690000000000001"/>
    <n v="46"/>
    <n v="859.74"/>
  </r>
  <r>
    <x v="153"/>
    <x v="4"/>
    <s v="Внутри сети"/>
    <n v="0"/>
    <n v="0"/>
    <n v="0"/>
  </r>
  <r>
    <x v="154"/>
    <x v="4"/>
    <s v="Внутри сети"/>
    <n v="0"/>
    <n v="0"/>
    <n v="0"/>
  </r>
  <r>
    <x v="155"/>
    <x v="4"/>
    <s v="Внутри сети"/>
    <n v="0.43"/>
    <n v="1"/>
    <n v="0.43"/>
  </r>
  <r>
    <x v="156"/>
    <x v="4"/>
    <s v="Внутри сети"/>
    <n v="0.43"/>
    <n v="1"/>
    <n v="0.43"/>
  </r>
  <r>
    <x v="157"/>
    <x v="4"/>
    <s v="На других операторов"/>
    <n v="7.43"/>
    <n v="1"/>
    <n v="7.43"/>
  </r>
  <r>
    <x v="158"/>
    <x v="4"/>
    <s v="Внутри сети"/>
    <n v="0.43"/>
    <n v="1"/>
    <n v="0.43"/>
  </r>
  <r>
    <x v="159"/>
    <x v="4"/>
    <s v="Внутри сети"/>
    <n v="0.43"/>
    <n v="1"/>
    <n v="0.43"/>
  </r>
  <r>
    <x v="160"/>
    <x v="4"/>
    <s v="Внутри сети"/>
    <n v="0.43"/>
    <n v="1"/>
    <n v="0.43"/>
  </r>
  <r>
    <x v="161"/>
    <x v="4"/>
    <s v="Внутри сети"/>
    <n v="0.43"/>
    <n v="1"/>
    <n v="0.43"/>
  </r>
  <r>
    <x v="162"/>
    <x v="4"/>
    <s v="Внутри сети"/>
    <n v="0.43"/>
    <n v="1"/>
    <n v="0.43"/>
  </r>
  <r>
    <x v="163"/>
    <x v="4"/>
    <s v="Внутри сети"/>
    <n v="0.43"/>
    <n v="1"/>
    <n v="0.43"/>
  </r>
  <r>
    <x v="164"/>
    <x v="4"/>
    <s v="Внутри сети"/>
    <n v="0.43"/>
    <n v="1"/>
    <n v="0.43"/>
  </r>
  <r>
    <x v="165"/>
    <x v="4"/>
    <s v="Внутри сети"/>
    <n v="0"/>
    <n v="1"/>
    <n v="0"/>
  </r>
  <r>
    <x v="166"/>
    <x v="4"/>
    <s v="Внутри сети"/>
    <n v="0.43"/>
    <n v="1"/>
    <n v="0.43"/>
  </r>
  <r>
    <x v="167"/>
    <x v="4"/>
    <s v="Внутри сети"/>
    <n v="0.43"/>
    <n v="1"/>
    <n v="0.43"/>
  </r>
  <r>
    <x v="162"/>
    <x v="4"/>
    <s v="На других операторов"/>
    <n v="7.43"/>
    <n v="1"/>
    <n v="7.43"/>
  </r>
  <r>
    <x v="168"/>
    <x v="4"/>
    <s v="Внутри сети"/>
    <n v="0.43"/>
    <n v="1"/>
    <n v="0.43"/>
  </r>
  <r>
    <x v="169"/>
    <x v="4"/>
    <s v="Внутри сети"/>
    <n v="0.43"/>
    <n v="1"/>
    <n v="0.43"/>
  </r>
  <r>
    <x v="170"/>
    <x v="4"/>
    <s v="Внутри сети"/>
    <n v="0.43"/>
    <n v="1"/>
    <n v="0.43"/>
  </r>
  <r>
    <x v="171"/>
    <x v="4"/>
    <s v="Внутри сети"/>
    <n v="0.43"/>
    <n v="1"/>
    <n v="0.43"/>
  </r>
  <r>
    <x v="172"/>
    <x v="4"/>
    <s v="Внутри сети"/>
    <n v="0.43"/>
    <n v="1"/>
    <n v="0.43"/>
  </r>
  <r>
    <x v="173"/>
    <x v="4"/>
    <s v="Внутри сети"/>
    <n v="0.43"/>
    <n v="1"/>
    <n v="0.43"/>
  </r>
  <r>
    <x v="174"/>
    <x v="4"/>
    <s v="Внутри сети"/>
    <n v="0.43"/>
    <n v="1"/>
    <n v="0.43"/>
  </r>
  <r>
    <x v="175"/>
    <x v="4"/>
    <s v="Внутри сети"/>
    <n v="0.43"/>
    <n v="1"/>
    <n v="0.43"/>
  </r>
  <r>
    <x v="156"/>
    <x v="4"/>
    <s v="Внутри сети"/>
    <n v="0.85"/>
    <n v="2"/>
    <n v="1.7"/>
  </r>
  <r>
    <x v="176"/>
    <x v="4"/>
    <s v="На городской"/>
    <n v="7.43"/>
    <n v="2"/>
    <n v="14.86"/>
  </r>
  <r>
    <x v="166"/>
    <x v="4"/>
    <s v="Внутри сети"/>
    <n v="0.85"/>
    <n v="2"/>
    <n v="1.7"/>
  </r>
  <r>
    <x v="177"/>
    <x v="4"/>
    <s v="Внутри сети"/>
    <n v="0.85"/>
    <n v="2"/>
    <n v="1.7"/>
  </r>
  <r>
    <x v="178"/>
    <x v="4"/>
    <s v="Внутри сети"/>
    <n v="0.85"/>
    <n v="2"/>
    <n v="1.7"/>
  </r>
  <r>
    <x v="179"/>
    <x v="4"/>
    <s v="Внутри сети"/>
    <n v="0.85"/>
    <n v="2"/>
    <n v="1.7"/>
  </r>
  <r>
    <x v="161"/>
    <x v="4"/>
    <s v="Внутри сети"/>
    <n v="0.85"/>
    <n v="2"/>
    <n v="1.7"/>
  </r>
  <r>
    <x v="169"/>
    <x v="4"/>
    <s v="Внутри сети"/>
    <n v="0.85"/>
    <n v="2"/>
    <n v="1.7"/>
  </r>
  <r>
    <x v="180"/>
    <x v="4"/>
    <s v="Внутри сети"/>
    <n v="0.85"/>
    <n v="2"/>
    <n v="1.7"/>
  </r>
  <r>
    <x v="180"/>
    <x v="4"/>
    <s v="Внутри сети"/>
    <n v="0.85"/>
    <n v="2"/>
    <n v="1.7"/>
  </r>
  <r>
    <x v="181"/>
    <x v="4"/>
    <s v="Внутри сети"/>
    <n v="1.28"/>
    <n v="3"/>
    <n v="3.84"/>
  </r>
  <r>
    <x v="165"/>
    <x v="4"/>
    <s v="Внутри сети"/>
    <n v="1.28"/>
    <n v="3"/>
    <n v="3.84"/>
  </r>
  <r>
    <x v="167"/>
    <x v="4"/>
    <s v="Внутри сети"/>
    <n v="1.28"/>
    <n v="3"/>
    <n v="3.84"/>
  </r>
  <r>
    <x v="182"/>
    <x v="4"/>
    <s v="Внутри сети"/>
    <n v="1.28"/>
    <n v="3"/>
    <n v="3.84"/>
  </r>
  <r>
    <x v="183"/>
    <x v="4"/>
    <s v="Внутри сети"/>
    <n v="1.28"/>
    <n v="3"/>
    <n v="3.84"/>
  </r>
  <r>
    <x v="184"/>
    <x v="4"/>
    <s v="Внутри сети"/>
    <n v="0"/>
    <n v="3"/>
    <n v="0"/>
  </r>
  <r>
    <x v="185"/>
    <x v="4"/>
    <s v="Внутри сети"/>
    <n v="1.7"/>
    <n v="4"/>
    <n v="6.8"/>
  </r>
  <r>
    <x v="185"/>
    <x v="4"/>
    <s v="Внутри сети"/>
    <n v="1.7"/>
    <n v="4"/>
    <n v="6.8"/>
  </r>
  <r>
    <x v="186"/>
    <x v="4"/>
    <s v="Внутри сети"/>
    <n v="1.7"/>
    <n v="4"/>
    <n v="6.8"/>
  </r>
  <r>
    <x v="187"/>
    <x v="4"/>
    <s v="Внутри сети"/>
    <n v="1.7"/>
    <n v="4"/>
    <n v="6.8"/>
  </r>
  <r>
    <x v="188"/>
    <x v="4"/>
    <s v="Внутри сети"/>
    <n v="1.7"/>
    <n v="4"/>
    <n v="6.8"/>
  </r>
  <r>
    <x v="189"/>
    <x v="4"/>
    <s v="На других операторов"/>
    <n v="7.43"/>
    <n v="4"/>
    <n v="29.72"/>
  </r>
  <r>
    <x v="190"/>
    <x v="4"/>
    <s v="Внутри сети"/>
    <n v="1.7"/>
    <n v="4"/>
    <n v="6.8"/>
  </r>
  <r>
    <x v="186"/>
    <x v="4"/>
    <s v="Внутри сети"/>
    <n v="1.7"/>
    <n v="4"/>
    <n v="6.8"/>
  </r>
  <r>
    <x v="163"/>
    <x v="4"/>
    <s v="Внутри сети"/>
    <n v="1.7"/>
    <n v="4"/>
    <n v="6.8"/>
  </r>
  <r>
    <x v="155"/>
    <x v="4"/>
    <s v="Внутри сети"/>
    <n v="2.13"/>
    <n v="5"/>
    <n v="10.649999999999999"/>
  </r>
  <r>
    <x v="191"/>
    <x v="4"/>
    <s v="Внутри сети"/>
    <n v="2.13"/>
    <n v="5"/>
    <n v="10.649999999999999"/>
  </r>
  <r>
    <x v="192"/>
    <x v="4"/>
    <s v="Внутри сети"/>
    <n v="2.13"/>
    <n v="5"/>
    <n v="10.649999999999999"/>
  </r>
  <r>
    <x v="193"/>
    <x v="4"/>
    <s v="Внутри сети"/>
    <n v="2.13"/>
    <n v="5"/>
    <n v="10.649999999999999"/>
  </r>
  <r>
    <x v="177"/>
    <x v="4"/>
    <s v="Внутри сети"/>
    <n v="2.13"/>
    <n v="5"/>
    <n v="10.649999999999999"/>
  </r>
  <r>
    <x v="162"/>
    <x v="4"/>
    <s v="Внутри сети"/>
    <n v="2.13"/>
    <n v="5"/>
    <n v="10.649999999999999"/>
  </r>
  <r>
    <x v="194"/>
    <x v="4"/>
    <s v="Внутри сети"/>
    <n v="2.13"/>
    <n v="5"/>
    <n v="10.649999999999999"/>
  </r>
  <r>
    <x v="175"/>
    <x v="4"/>
    <s v="Внутри сети"/>
    <n v="2.13"/>
    <n v="5"/>
    <n v="10.649999999999999"/>
  </r>
  <r>
    <x v="176"/>
    <x v="4"/>
    <s v="Внутри сети"/>
    <n v="2.56"/>
    <n v="6"/>
    <n v="15.36"/>
  </r>
  <r>
    <x v="158"/>
    <x v="4"/>
    <s v="Внутри сети"/>
    <n v="2.56"/>
    <n v="6"/>
    <n v="15.36"/>
  </r>
  <r>
    <x v="195"/>
    <x v="4"/>
    <s v="Внутри сети"/>
    <n v="2.56"/>
    <n v="6"/>
    <n v="15.36"/>
  </r>
  <r>
    <x v="196"/>
    <x v="4"/>
    <s v="Внутри сети"/>
    <n v="2.56"/>
    <n v="6"/>
    <n v="15.36"/>
  </r>
  <r>
    <x v="197"/>
    <x v="4"/>
    <s v="Внутри сети"/>
    <n v="0"/>
    <n v="6"/>
    <n v="0"/>
  </r>
  <r>
    <x v="160"/>
    <x v="4"/>
    <s v="Внутри сети"/>
    <n v="2.56"/>
    <n v="6"/>
    <n v="15.36"/>
  </r>
  <r>
    <x v="195"/>
    <x v="4"/>
    <s v="Внутри сети"/>
    <n v="2.56"/>
    <n v="6"/>
    <n v="15.36"/>
  </r>
  <r>
    <x v="196"/>
    <x v="4"/>
    <s v="Внутри сети"/>
    <n v="2.56"/>
    <n v="6"/>
    <n v="15.36"/>
  </r>
  <r>
    <x v="198"/>
    <x v="4"/>
    <s v="Внутри сети"/>
    <n v="2.56"/>
    <n v="6"/>
    <n v="15.36"/>
  </r>
  <r>
    <x v="199"/>
    <x v="4"/>
    <s v="Внутри сети"/>
    <n v="2.98"/>
    <n v="7"/>
    <n v="20.86"/>
  </r>
  <r>
    <x v="200"/>
    <x v="4"/>
    <s v="Внутри сети"/>
    <n v="2.98"/>
    <n v="7"/>
    <n v="20.86"/>
  </r>
  <r>
    <x v="196"/>
    <x v="4"/>
    <s v="Внутри сети"/>
    <n v="2.98"/>
    <n v="7"/>
    <n v="20.86"/>
  </r>
  <r>
    <x v="187"/>
    <x v="4"/>
    <s v="Внутри сети"/>
    <n v="2.98"/>
    <n v="7"/>
    <n v="20.86"/>
  </r>
  <r>
    <x v="159"/>
    <x v="4"/>
    <s v="На других операторов"/>
    <n v="7.43"/>
    <n v="7"/>
    <n v="52.01"/>
  </r>
  <r>
    <x v="188"/>
    <x v="4"/>
    <s v="Внутри сети"/>
    <n v="2.98"/>
    <n v="7"/>
    <n v="20.86"/>
  </r>
  <r>
    <x v="179"/>
    <x v="4"/>
    <s v="Внутри сети"/>
    <n v="2.98"/>
    <n v="7"/>
    <n v="20.86"/>
  </r>
  <r>
    <x v="189"/>
    <x v="4"/>
    <s v="Внутри сети"/>
    <n v="2.98"/>
    <n v="7"/>
    <n v="20.86"/>
  </r>
  <r>
    <x v="201"/>
    <x v="4"/>
    <s v="Внутри сети"/>
    <n v="2.98"/>
    <n v="7"/>
    <n v="20.86"/>
  </r>
  <r>
    <x v="157"/>
    <x v="4"/>
    <s v="Внутри сети"/>
    <n v="3.41"/>
    <n v="8"/>
    <n v="27.28"/>
  </r>
  <r>
    <x v="202"/>
    <x v="4"/>
    <s v="Внутри сети"/>
    <n v="3.41"/>
    <n v="8"/>
    <n v="27.28"/>
  </r>
  <r>
    <x v="168"/>
    <x v="4"/>
    <s v="Внутри сети"/>
    <n v="3.41"/>
    <n v="8"/>
    <n v="27.28"/>
  </r>
  <r>
    <x v="186"/>
    <x v="4"/>
    <s v="Внутри сети"/>
    <n v="3.41"/>
    <n v="8"/>
    <n v="27.28"/>
  </r>
  <r>
    <x v="165"/>
    <x v="4"/>
    <s v="Внутри сети"/>
    <n v="3.41"/>
    <n v="8"/>
    <n v="27.28"/>
  </r>
  <r>
    <x v="178"/>
    <x v="4"/>
    <s v="Внутри сети"/>
    <n v="3.41"/>
    <n v="8"/>
    <n v="27.28"/>
  </r>
  <r>
    <x v="175"/>
    <x v="4"/>
    <s v="Внутри сети"/>
    <n v="3.41"/>
    <n v="8"/>
    <n v="27.28"/>
  </r>
  <r>
    <x v="203"/>
    <x v="4"/>
    <s v="Внутри сети"/>
    <n v="3.41"/>
    <n v="8"/>
    <n v="27.28"/>
  </r>
  <r>
    <x v="204"/>
    <x v="4"/>
    <s v="Внутри сети"/>
    <n v="3.41"/>
    <n v="8"/>
    <n v="27.28"/>
  </r>
  <r>
    <x v="154"/>
    <x v="4"/>
    <s v="Внутри сети"/>
    <n v="3.84"/>
    <n v="9"/>
    <n v="34.56"/>
  </r>
  <r>
    <x v="193"/>
    <x v="4"/>
    <s v="Внутри сети"/>
    <n v="3.84"/>
    <n v="9"/>
    <n v="34.56"/>
  </r>
  <r>
    <x v="205"/>
    <x v="4"/>
    <s v="Внутри сети"/>
    <n v="3.84"/>
    <n v="9"/>
    <n v="34.56"/>
  </r>
  <r>
    <x v="205"/>
    <x v="4"/>
    <s v="Внутри сети"/>
    <n v="3.84"/>
    <n v="9"/>
    <n v="34.56"/>
  </r>
  <r>
    <x v="179"/>
    <x v="4"/>
    <s v="Внутри сети"/>
    <n v="3.84"/>
    <n v="9"/>
    <n v="34.56"/>
  </r>
  <r>
    <x v="206"/>
    <x v="4"/>
    <s v="На других операторов"/>
    <n v="7.43"/>
    <n v="9"/>
    <n v="66.87"/>
  </r>
  <r>
    <x v="207"/>
    <x v="4"/>
    <s v="Внутри сети"/>
    <n v="3.84"/>
    <n v="9"/>
    <n v="34.56"/>
  </r>
  <r>
    <x v="180"/>
    <x v="4"/>
    <s v="Внутри сети"/>
    <n v="3.84"/>
    <n v="9"/>
    <n v="34.56"/>
  </r>
  <r>
    <x v="169"/>
    <x v="4"/>
    <s v="Внутри сети"/>
    <n v="4.26"/>
    <n v="10"/>
    <n v="42.599999999999994"/>
  </r>
  <r>
    <x v="208"/>
    <x v="4"/>
    <s v="Внутри сети"/>
    <n v="4.26"/>
    <n v="10"/>
    <n v="42.599999999999994"/>
  </r>
  <r>
    <x v="197"/>
    <x v="4"/>
    <s v="Внутри сети"/>
    <n v="4.26"/>
    <n v="10"/>
    <n v="42.599999999999994"/>
  </r>
  <r>
    <x v="202"/>
    <x v="4"/>
    <s v="Внутри сети"/>
    <n v="4.26"/>
    <n v="10"/>
    <n v="42.599999999999994"/>
  </r>
  <r>
    <x v="161"/>
    <x v="4"/>
    <s v="Внутри сети"/>
    <n v="4.26"/>
    <n v="10"/>
    <n v="42.599999999999994"/>
  </r>
  <r>
    <x v="205"/>
    <x v="4"/>
    <s v="Внутри сети"/>
    <n v="4.26"/>
    <n v="10"/>
    <n v="42.599999999999994"/>
  </r>
  <r>
    <x v="209"/>
    <x v="4"/>
    <s v="Внутри сети"/>
    <n v="4.26"/>
    <n v="10"/>
    <n v="42.599999999999994"/>
  </r>
  <r>
    <x v="184"/>
    <x v="4"/>
    <s v="Внутри сети"/>
    <n v="4.26"/>
    <n v="10"/>
    <n v="42.599999999999994"/>
  </r>
  <r>
    <x v="210"/>
    <x v="4"/>
    <s v="Внутри сети"/>
    <n v="4.6900000000000004"/>
    <n v="11"/>
    <n v="51.59"/>
  </r>
  <r>
    <x v="187"/>
    <x v="4"/>
    <s v="На городской"/>
    <n v="14.87"/>
    <n v="11"/>
    <n v="163.57"/>
  </r>
  <r>
    <x v="211"/>
    <x v="4"/>
    <s v="Внутри сети"/>
    <n v="4.6900000000000004"/>
    <n v="11"/>
    <n v="51.59"/>
  </r>
  <r>
    <x v="199"/>
    <x v="4"/>
    <s v="Внутри сети"/>
    <n v="4.6900000000000004"/>
    <n v="11"/>
    <n v="51.59"/>
  </r>
  <r>
    <x v="211"/>
    <x v="4"/>
    <s v="Внутри сети"/>
    <n v="4.6900000000000004"/>
    <n v="11"/>
    <n v="51.59"/>
  </r>
  <r>
    <x v="194"/>
    <x v="4"/>
    <s v="Внутри сети"/>
    <n v="4.6900000000000004"/>
    <n v="11"/>
    <n v="51.59"/>
  </r>
  <r>
    <x v="212"/>
    <x v="4"/>
    <s v="Внутри сети"/>
    <n v="5.1100000000000003"/>
    <n v="12"/>
    <n v="61.320000000000007"/>
  </r>
  <r>
    <x v="213"/>
    <x v="4"/>
    <s v="Внутри сети"/>
    <n v="5.1100000000000003"/>
    <n v="12"/>
    <n v="61.320000000000007"/>
  </r>
  <r>
    <x v="214"/>
    <x v="4"/>
    <s v="Внутри сети"/>
    <n v="5.1100000000000003"/>
    <n v="12"/>
    <n v="61.320000000000007"/>
  </r>
  <r>
    <x v="160"/>
    <x v="4"/>
    <s v="Внутри сети"/>
    <n v="5.1100000000000003"/>
    <n v="12"/>
    <n v="61.320000000000007"/>
  </r>
  <r>
    <x v="193"/>
    <x v="4"/>
    <s v="Внутри сети"/>
    <n v="5.1100000000000003"/>
    <n v="12"/>
    <n v="61.320000000000007"/>
  </r>
  <r>
    <x v="215"/>
    <x v="4"/>
    <s v="Внутри сети"/>
    <n v="5.1100000000000003"/>
    <n v="12"/>
    <n v="61.320000000000007"/>
  </r>
  <r>
    <x v="216"/>
    <x v="4"/>
    <s v="Внутри сети"/>
    <n v="5.54"/>
    <n v="13"/>
    <n v="72.02"/>
  </r>
  <r>
    <x v="217"/>
    <x v="4"/>
    <s v="Внутри сети"/>
    <n v="5.54"/>
    <n v="13"/>
    <n v="72.02"/>
  </r>
  <r>
    <x v="172"/>
    <x v="4"/>
    <s v="Внутри сети"/>
    <n v="5.54"/>
    <n v="13"/>
    <n v="72.02"/>
  </r>
  <r>
    <x v="218"/>
    <x v="4"/>
    <s v="Внутри сети"/>
    <n v="5.54"/>
    <n v="13"/>
    <n v="72.02"/>
  </r>
  <r>
    <x v="215"/>
    <x v="4"/>
    <s v="Внутри сети"/>
    <n v="5.54"/>
    <n v="13"/>
    <n v="72.02"/>
  </r>
  <r>
    <x v="206"/>
    <x v="4"/>
    <s v="Внутри сети"/>
    <n v="5.54"/>
    <n v="13"/>
    <n v="72.02"/>
  </r>
  <r>
    <x v="219"/>
    <x v="4"/>
    <s v="Внутри сети"/>
    <n v="5.54"/>
    <n v="13"/>
    <n v="72.02"/>
  </r>
  <r>
    <x v="174"/>
    <x v="4"/>
    <s v="Внутри сети"/>
    <n v="5.54"/>
    <n v="13"/>
    <n v="72.02"/>
  </r>
  <r>
    <x v="199"/>
    <x v="4"/>
    <s v="Внутри сети"/>
    <n v="5.97"/>
    <n v="14"/>
    <n v="83.58"/>
  </r>
  <r>
    <x v="211"/>
    <x v="4"/>
    <s v="Внутри сети"/>
    <n v="6.39"/>
    <n v="15"/>
    <n v="95.85"/>
  </r>
  <r>
    <x v="208"/>
    <x v="4"/>
    <s v="Внутри сети"/>
    <n v="6.39"/>
    <n v="15"/>
    <n v="95.85"/>
  </r>
  <r>
    <x v="213"/>
    <x v="4"/>
    <s v="Внутри сети"/>
    <n v="6.39"/>
    <n v="15"/>
    <n v="95.85"/>
  </r>
  <r>
    <x v="177"/>
    <x v="4"/>
    <s v="Внутри сети"/>
    <n v="6.82"/>
    <n v="16"/>
    <n v="109.12"/>
  </r>
  <r>
    <x v="212"/>
    <x v="4"/>
    <s v="Внутри сети"/>
    <n v="6.82"/>
    <n v="16"/>
    <n v="109.12"/>
  </r>
  <r>
    <x v="214"/>
    <x v="4"/>
    <s v="Внутри сети"/>
    <n v="7.25"/>
    <n v="17"/>
    <n v="123.25"/>
  </r>
  <r>
    <x v="174"/>
    <x v="4"/>
    <s v="Внутри сети"/>
    <n v="7.25"/>
    <n v="17"/>
    <n v="123.25"/>
  </r>
  <r>
    <x v="212"/>
    <x v="4"/>
    <s v="Внутри сети"/>
    <n v="7.67"/>
    <n v="18"/>
    <n v="138.06"/>
  </r>
  <r>
    <x v="200"/>
    <x v="4"/>
    <s v="Внутри сети"/>
    <n v="7.67"/>
    <n v="18"/>
    <n v="138.06"/>
  </r>
  <r>
    <x v="189"/>
    <x v="4"/>
    <s v="Внутри сети"/>
    <n v="7.67"/>
    <n v="18"/>
    <n v="138.06"/>
  </r>
  <r>
    <x v="213"/>
    <x v="4"/>
    <s v="Внутри сети"/>
    <n v="7.67"/>
    <n v="18"/>
    <n v="138.06"/>
  </r>
  <r>
    <x v="163"/>
    <x v="4"/>
    <s v="Внутри сети"/>
    <n v="7.67"/>
    <n v="18"/>
    <n v="138.06"/>
  </r>
  <r>
    <x v="167"/>
    <x v="4"/>
    <s v="Внутри сети"/>
    <n v="7.67"/>
    <n v="18"/>
    <n v="138.06"/>
  </r>
  <r>
    <x v="200"/>
    <x v="4"/>
    <s v="Внутри сети"/>
    <n v="7.67"/>
    <n v="18"/>
    <n v="138.06"/>
  </r>
  <r>
    <x v="219"/>
    <x v="4"/>
    <s v="На других операторов"/>
    <n v="14.87"/>
    <n v="18"/>
    <n v="267.65999999999997"/>
  </r>
  <r>
    <x v="220"/>
    <x v="4"/>
    <s v="Внутри сети"/>
    <n v="7.67"/>
    <n v="18"/>
    <n v="138.06"/>
  </r>
  <r>
    <x v="221"/>
    <x v="4"/>
    <s v="Внутри сети"/>
    <n v="7.67"/>
    <n v="18"/>
    <n v="138.06"/>
  </r>
  <r>
    <x v="195"/>
    <x v="4"/>
    <s v="Внутри сети"/>
    <n v="8.1"/>
    <n v="19"/>
    <n v="153.9"/>
  </r>
  <r>
    <x v="202"/>
    <x v="4"/>
    <s v="Внутри сети"/>
    <n v="8.1"/>
    <n v="19"/>
    <n v="153.9"/>
  </r>
  <r>
    <x v="188"/>
    <x v="4"/>
    <s v="Внутри сети"/>
    <n v="8.1"/>
    <n v="19"/>
    <n v="153.9"/>
  </r>
  <r>
    <x v="222"/>
    <x v="4"/>
    <s v="Внутри сети"/>
    <n v="8.1"/>
    <n v="19"/>
    <n v="153.9"/>
  </r>
  <r>
    <x v="197"/>
    <x v="4"/>
    <s v="Внутри сети"/>
    <n v="8.52"/>
    <n v="20"/>
    <n v="170.39999999999998"/>
  </r>
  <r>
    <x v="217"/>
    <x v="4"/>
    <s v="На городской"/>
    <n v="14.87"/>
    <n v="20"/>
    <n v="297.39999999999998"/>
  </r>
  <r>
    <x v="184"/>
    <x v="4"/>
    <s v="Внутри сети"/>
    <n v="8.52"/>
    <n v="20"/>
    <n v="170.39999999999998"/>
  </r>
  <r>
    <x v="190"/>
    <x v="4"/>
    <s v="Внутри сети"/>
    <n v="8.9499999999999993"/>
    <n v="21"/>
    <n v="187.95"/>
  </r>
  <r>
    <x v="158"/>
    <x v="4"/>
    <s v="Внутри сети"/>
    <n v="9.3800000000000008"/>
    <n v="22"/>
    <n v="206.36"/>
  </r>
  <r>
    <x v="166"/>
    <x v="4"/>
    <s v="Внутри сети"/>
    <n v="9.3800000000000008"/>
    <n v="22"/>
    <n v="206.36"/>
  </r>
  <r>
    <x v="223"/>
    <x v="4"/>
    <s v="Внутри сети"/>
    <n v="9.3800000000000008"/>
    <n v="22"/>
    <n v="206.36"/>
  </r>
  <r>
    <x v="154"/>
    <x v="4"/>
    <s v="Внутри сети"/>
    <n v="9.8000000000000007"/>
    <n v="23"/>
    <n v="225.4"/>
  </r>
  <r>
    <x v="178"/>
    <x v="4"/>
    <s v="Внутри сети"/>
    <n v="9.8000000000000007"/>
    <n v="23"/>
    <n v="225.4"/>
  </r>
  <r>
    <x v="224"/>
    <x v="4"/>
    <s v="Внутри сети"/>
    <n v="9.8000000000000007"/>
    <n v="23"/>
    <n v="225.4"/>
  </r>
  <r>
    <x v="168"/>
    <x v="4"/>
    <s v="Внутри сети"/>
    <n v="10.66"/>
    <n v="25"/>
    <n v="266.5"/>
  </r>
  <r>
    <x v="225"/>
    <x v="4"/>
    <s v="Внутри сети"/>
    <n v="11.08"/>
    <n v="26"/>
    <n v="288.08"/>
  </r>
  <r>
    <x v="226"/>
    <x v="4"/>
    <s v="Внутри сети"/>
    <n v="11.08"/>
    <n v="26"/>
    <n v="288.08"/>
  </r>
  <r>
    <x v="227"/>
    <x v="4"/>
    <s v="Внутри сети"/>
    <n v="11.93"/>
    <n v="28"/>
    <n v="334.03999999999996"/>
  </r>
  <r>
    <x v="223"/>
    <x v="4"/>
    <s v="Внутри сети"/>
    <n v="13.21"/>
    <n v="31"/>
    <n v="409.51000000000005"/>
  </r>
  <r>
    <x v="228"/>
    <x v="4"/>
    <s v="Внутри сети"/>
    <n v="14.06"/>
    <n v="33"/>
    <n v="463.98"/>
  </r>
  <r>
    <x v="229"/>
    <x v="5"/>
    <s v="Внутри сети"/>
    <n v="0"/>
    <n v="0"/>
    <n v="0"/>
  </r>
  <r>
    <x v="230"/>
    <x v="5"/>
    <s v="Внутри сети"/>
    <n v="4.26"/>
    <n v="1"/>
    <n v="4.26"/>
  </r>
  <r>
    <x v="231"/>
    <x v="5"/>
    <s v="Внутри сети"/>
    <n v="4.26"/>
    <n v="1"/>
    <n v="4.26"/>
  </r>
  <r>
    <x v="232"/>
    <x v="5"/>
    <s v="Внутри сети"/>
    <n v="4.26"/>
    <n v="1"/>
    <n v="4.26"/>
  </r>
  <r>
    <x v="233"/>
    <x v="5"/>
    <s v="Внутри сети"/>
    <n v="4.26"/>
    <n v="1"/>
    <n v="4.26"/>
  </r>
  <r>
    <x v="234"/>
    <x v="5"/>
    <s v="Внутри сети"/>
    <n v="4.26"/>
    <n v="1"/>
    <n v="4.26"/>
  </r>
  <r>
    <x v="235"/>
    <x v="5"/>
    <s v="Внутри сети"/>
    <n v="4.26"/>
    <n v="1"/>
    <n v="4.26"/>
  </r>
  <r>
    <x v="236"/>
    <x v="5"/>
    <s v="Внутри сети"/>
    <n v="4.26"/>
    <n v="1"/>
    <n v="4.26"/>
  </r>
  <r>
    <x v="237"/>
    <x v="5"/>
    <s v="Внутри сети"/>
    <n v="4.26"/>
    <n v="1"/>
    <n v="4.26"/>
  </r>
  <r>
    <x v="238"/>
    <x v="5"/>
    <s v="Внутри сети"/>
    <n v="4.26"/>
    <n v="1"/>
    <n v="4.26"/>
  </r>
  <r>
    <x v="239"/>
    <x v="5"/>
    <s v="Внутри сети"/>
    <n v="4.26"/>
    <n v="1"/>
    <n v="4.26"/>
  </r>
  <r>
    <x v="240"/>
    <x v="5"/>
    <s v="На других операторов"/>
    <n v="7.43"/>
    <n v="1"/>
    <n v="7.43"/>
  </r>
  <r>
    <x v="241"/>
    <x v="5"/>
    <s v="Внутри сети"/>
    <n v="4.26"/>
    <n v="1"/>
    <n v="4.26"/>
  </r>
  <r>
    <x v="231"/>
    <x v="5"/>
    <s v="Внутри сети"/>
    <n v="4.26"/>
    <n v="1"/>
    <n v="4.26"/>
  </r>
  <r>
    <x v="242"/>
    <x v="5"/>
    <s v="На других операторов"/>
    <n v="7.43"/>
    <n v="1"/>
    <n v="7.43"/>
  </r>
  <r>
    <x v="243"/>
    <x v="5"/>
    <s v="Внутри сети"/>
    <n v="4.26"/>
    <n v="2"/>
    <n v="8.52"/>
  </r>
  <r>
    <x v="244"/>
    <x v="5"/>
    <s v="Внутри сети"/>
    <n v="4.26"/>
    <n v="2"/>
    <n v="8.52"/>
  </r>
  <r>
    <x v="245"/>
    <x v="5"/>
    <s v="Внутри сети"/>
    <n v="4.26"/>
    <n v="2"/>
    <n v="8.52"/>
  </r>
  <r>
    <x v="246"/>
    <x v="5"/>
    <s v="Внутри сети"/>
    <n v="4.26"/>
    <n v="2"/>
    <n v="8.52"/>
  </r>
  <r>
    <x v="236"/>
    <x v="5"/>
    <s v="Внутри сети"/>
    <n v="4.26"/>
    <n v="2"/>
    <n v="8.52"/>
  </r>
  <r>
    <x v="247"/>
    <x v="5"/>
    <s v="Внутри сети"/>
    <n v="4.26"/>
    <n v="2"/>
    <n v="8.52"/>
  </r>
  <r>
    <x v="248"/>
    <x v="5"/>
    <s v="Внутри сети"/>
    <n v="4.26"/>
    <n v="2"/>
    <n v="8.52"/>
  </r>
  <r>
    <x v="249"/>
    <x v="5"/>
    <s v="Внутри сети"/>
    <n v="4.26"/>
    <n v="3"/>
    <n v="12.78"/>
  </r>
  <r>
    <x v="250"/>
    <x v="5"/>
    <s v="Внутри сети"/>
    <n v="4.26"/>
    <n v="3"/>
    <n v="12.78"/>
  </r>
  <r>
    <x v="251"/>
    <x v="5"/>
    <s v="Внутри сети"/>
    <n v="4.26"/>
    <n v="3"/>
    <n v="12.78"/>
  </r>
  <r>
    <x v="248"/>
    <x v="5"/>
    <s v="Внутри сети"/>
    <n v="4.26"/>
    <n v="3"/>
    <n v="12.78"/>
  </r>
  <r>
    <x v="252"/>
    <x v="5"/>
    <s v="Внутри сети"/>
    <n v="4.26"/>
    <n v="3"/>
    <n v="12.78"/>
  </r>
  <r>
    <x v="242"/>
    <x v="5"/>
    <s v="Внутри сети"/>
    <n v="4.26"/>
    <n v="4"/>
    <n v="17.04"/>
  </r>
  <r>
    <x v="253"/>
    <x v="5"/>
    <s v="Внутри сети"/>
    <n v="4.26"/>
    <n v="4"/>
    <n v="17.04"/>
  </r>
  <r>
    <x v="254"/>
    <x v="5"/>
    <s v="Внутри сети"/>
    <n v="4.26"/>
    <n v="4"/>
    <n v="17.04"/>
  </r>
  <r>
    <x v="255"/>
    <x v="5"/>
    <s v="Внутри сети"/>
    <n v="0"/>
    <n v="4"/>
    <n v="0"/>
  </r>
  <r>
    <x v="238"/>
    <x v="5"/>
    <s v="Внутри сети"/>
    <n v="4.26"/>
    <n v="4"/>
    <n v="17.04"/>
  </r>
  <r>
    <x v="252"/>
    <x v="5"/>
    <s v="Внутри сети"/>
    <n v="4.26"/>
    <n v="5"/>
    <n v="21.299999999999997"/>
  </r>
  <r>
    <x v="256"/>
    <x v="5"/>
    <s v="Внутри сети"/>
    <n v="4.26"/>
    <n v="5"/>
    <n v="21.299999999999997"/>
  </r>
  <r>
    <x v="257"/>
    <x v="5"/>
    <s v="Внутри сети"/>
    <n v="4.26"/>
    <n v="5"/>
    <n v="21.299999999999997"/>
  </r>
  <r>
    <x v="258"/>
    <x v="5"/>
    <s v="Внутри сети"/>
    <n v="4.26"/>
    <n v="5"/>
    <n v="21.299999999999997"/>
  </r>
  <r>
    <x v="251"/>
    <x v="5"/>
    <s v="Внутри сети"/>
    <n v="4.26"/>
    <n v="5"/>
    <n v="21.299999999999997"/>
  </r>
  <r>
    <x v="259"/>
    <x v="5"/>
    <s v="Внутри сети"/>
    <n v="4.26"/>
    <n v="6"/>
    <n v="25.56"/>
  </r>
  <r>
    <x v="260"/>
    <x v="5"/>
    <s v="Внутри сети"/>
    <n v="4.26"/>
    <n v="6"/>
    <n v="25.56"/>
  </r>
  <r>
    <x v="261"/>
    <x v="5"/>
    <s v="Внутри сети"/>
    <n v="4.26"/>
    <n v="6"/>
    <n v="25.56"/>
  </r>
  <r>
    <x v="262"/>
    <x v="5"/>
    <s v="Внутри сети"/>
    <n v="4.26"/>
    <n v="6"/>
    <n v="25.56"/>
  </r>
  <r>
    <x v="263"/>
    <x v="5"/>
    <s v="Внутри сети"/>
    <n v="4.26"/>
    <n v="6"/>
    <n v="25.56"/>
  </r>
  <r>
    <x v="254"/>
    <x v="5"/>
    <s v="Внутри сети"/>
    <n v="4.26"/>
    <n v="6"/>
    <n v="25.56"/>
  </r>
  <r>
    <x v="264"/>
    <x v="5"/>
    <s v="Внутри сети"/>
    <n v="4.26"/>
    <n v="7"/>
    <n v="29.82"/>
  </r>
  <r>
    <x v="265"/>
    <x v="5"/>
    <s v="Внутри сети"/>
    <n v="4.26"/>
    <n v="7"/>
    <n v="29.82"/>
  </r>
  <r>
    <x v="244"/>
    <x v="5"/>
    <s v="Внутри сети"/>
    <n v="4.26"/>
    <n v="7"/>
    <n v="29.82"/>
  </r>
  <r>
    <x v="266"/>
    <x v="5"/>
    <s v="Внутри сети"/>
    <n v="4.26"/>
    <n v="7"/>
    <n v="29.82"/>
  </r>
  <r>
    <x v="255"/>
    <x v="5"/>
    <s v="Внутри сети"/>
    <n v="4.26"/>
    <n v="7"/>
    <n v="29.82"/>
  </r>
  <r>
    <x v="240"/>
    <x v="5"/>
    <s v="Внутри сети"/>
    <n v="4.26"/>
    <n v="7"/>
    <n v="29.82"/>
  </r>
  <r>
    <x v="267"/>
    <x v="5"/>
    <s v="Внутри сети"/>
    <n v="4.26"/>
    <n v="8"/>
    <n v="34.08"/>
  </r>
  <r>
    <x v="268"/>
    <x v="5"/>
    <s v="Внутри сети"/>
    <n v="4.26"/>
    <n v="8"/>
    <n v="34.08"/>
  </r>
  <r>
    <x v="269"/>
    <x v="5"/>
    <s v="Внутри сети"/>
    <n v="4.26"/>
    <n v="8"/>
    <n v="34.08"/>
  </r>
  <r>
    <x v="270"/>
    <x v="5"/>
    <s v="Внутри сети"/>
    <n v="4.26"/>
    <n v="8"/>
    <n v="34.08"/>
  </r>
  <r>
    <x v="271"/>
    <x v="5"/>
    <s v="Внутри сети"/>
    <n v="4.26"/>
    <n v="8"/>
    <n v="34.08"/>
  </r>
  <r>
    <x v="272"/>
    <x v="5"/>
    <s v="Внутри сети"/>
    <n v="4.26"/>
    <n v="9"/>
    <n v="38.339999999999996"/>
  </r>
  <r>
    <x v="237"/>
    <x v="5"/>
    <s v="Внутри сети"/>
    <n v="4.26"/>
    <n v="9"/>
    <n v="38.339999999999996"/>
  </r>
  <r>
    <x v="246"/>
    <x v="5"/>
    <s v="Внутри сети"/>
    <n v="4.26"/>
    <n v="9"/>
    <n v="38.339999999999996"/>
  </r>
  <r>
    <x v="273"/>
    <x v="5"/>
    <s v="Внутри сети"/>
    <n v="4.26"/>
    <n v="10"/>
    <n v="42.599999999999994"/>
  </r>
  <r>
    <x v="274"/>
    <x v="5"/>
    <s v="Внутри сети"/>
    <n v="4.26"/>
    <n v="10"/>
    <n v="42.599999999999994"/>
  </r>
  <r>
    <x v="275"/>
    <x v="5"/>
    <s v="Внутри сети"/>
    <n v="4.26"/>
    <n v="10"/>
    <n v="42.599999999999994"/>
  </r>
  <r>
    <x v="241"/>
    <x v="5"/>
    <s v="Внутри сети"/>
    <n v="4.26"/>
    <n v="10"/>
    <n v="42.599999999999994"/>
  </r>
  <r>
    <x v="276"/>
    <x v="5"/>
    <s v="Внутри сети"/>
    <n v="4.26"/>
    <n v="10"/>
    <n v="42.599999999999994"/>
  </r>
  <r>
    <x v="232"/>
    <x v="5"/>
    <s v="Внутри сети"/>
    <n v="4.26"/>
    <n v="10"/>
    <n v="42.599999999999994"/>
  </r>
  <r>
    <x v="277"/>
    <x v="5"/>
    <s v="Внутри сети"/>
    <n v="4.26"/>
    <n v="10"/>
    <n v="42.599999999999994"/>
  </r>
  <r>
    <x v="278"/>
    <x v="5"/>
    <s v="Внутри сети"/>
    <n v="4.26"/>
    <n v="10"/>
    <n v="42.599999999999994"/>
  </r>
  <r>
    <x v="279"/>
    <x v="5"/>
    <s v="Внутри сети"/>
    <n v="8.52"/>
    <n v="11"/>
    <n v="93.72"/>
  </r>
  <r>
    <x v="247"/>
    <x v="5"/>
    <s v="Внутри сети"/>
    <n v="8.52"/>
    <n v="11"/>
    <n v="93.72"/>
  </r>
  <r>
    <x v="280"/>
    <x v="5"/>
    <s v="Внутри сети"/>
    <n v="8.52"/>
    <n v="11"/>
    <n v="93.72"/>
  </r>
  <r>
    <x v="232"/>
    <x v="5"/>
    <s v="Внутри сети"/>
    <n v="8.52"/>
    <n v="11"/>
    <n v="93.72"/>
  </r>
  <r>
    <x v="281"/>
    <x v="5"/>
    <s v="На других операторов"/>
    <n v="14.87"/>
    <n v="12"/>
    <n v="178.44"/>
  </r>
  <r>
    <x v="277"/>
    <x v="5"/>
    <s v="Внутри сети"/>
    <n v="8.52"/>
    <n v="12"/>
    <n v="102.24"/>
  </r>
  <r>
    <x v="275"/>
    <x v="5"/>
    <s v="Внутри сети"/>
    <n v="8.52"/>
    <n v="12"/>
    <n v="102.24"/>
  </r>
  <r>
    <x v="282"/>
    <x v="5"/>
    <s v="Внутри сети"/>
    <n v="8.52"/>
    <n v="12"/>
    <n v="102.24"/>
  </r>
  <r>
    <x v="283"/>
    <x v="5"/>
    <s v="Внутри сети"/>
    <n v="8.52"/>
    <n v="12"/>
    <n v="102.24"/>
  </r>
  <r>
    <x v="284"/>
    <x v="5"/>
    <s v="Внутри сети"/>
    <n v="8.52"/>
    <n v="12"/>
    <n v="102.24"/>
  </r>
  <r>
    <x v="276"/>
    <x v="5"/>
    <s v="Внутри сети"/>
    <n v="8.52"/>
    <n v="12"/>
    <n v="102.24"/>
  </r>
  <r>
    <x v="239"/>
    <x v="5"/>
    <s v="Внутри сети"/>
    <n v="8.52"/>
    <n v="12"/>
    <n v="102.24"/>
  </r>
  <r>
    <x v="274"/>
    <x v="5"/>
    <s v="Внутри сети"/>
    <n v="8.52"/>
    <n v="12"/>
    <n v="102.24"/>
  </r>
  <r>
    <x v="278"/>
    <x v="5"/>
    <s v="Внутри сети"/>
    <n v="8.52"/>
    <n v="13"/>
    <n v="110.75999999999999"/>
  </r>
  <r>
    <x v="285"/>
    <x v="5"/>
    <s v="Внутри сети"/>
    <n v="8.52"/>
    <n v="13"/>
    <n v="110.75999999999999"/>
  </r>
  <r>
    <x v="273"/>
    <x v="5"/>
    <s v="Внутри сети"/>
    <n v="8.52"/>
    <n v="13"/>
    <n v="110.75999999999999"/>
  </r>
  <r>
    <x v="265"/>
    <x v="5"/>
    <s v="Внутри сети"/>
    <n v="8.52"/>
    <n v="13"/>
    <n v="110.75999999999999"/>
  </r>
  <r>
    <x v="261"/>
    <x v="5"/>
    <s v="На межнар"/>
    <n v="24.5"/>
    <n v="13"/>
    <n v="318.5"/>
  </r>
  <r>
    <x v="266"/>
    <x v="5"/>
    <s v="Внутри сети"/>
    <n v="8.52"/>
    <n v="14"/>
    <n v="119.28"/>
  </r>
  <r>
    <x v="286"/>
    <x v="5"/>
    <s v="Внутри сети"/>
    <n v="8.52"/>
    <n v="14"/>
    <n v="119.28"/>
  </r>
  <r>
    <x v="287"/>
    <x v="5"/>
    <s v="Внутри сети"/>
    <n v="8.52"/>
    <n v="14"/>
    <n v="119.28"/>
  </r>
  <r>
    <x v="262"/>
    <x v="5"/>
    <s v="Внутри сети"/>
    <n v="8.52"/>
    <n v="14"/>
    <n v="119.28"/>
  </r>
  <r>
    <x v="283"/>
    <x v="5"/>
    <s v="Внутри сети"/>
    <n v="8.52"/>
    <n v="14"/>
    <n v="119.28"/>
  </r>
  <r>
    <x v="270"/>
    <x v="5"/>
    <s v="Внутри сети"/>
    <n v="8.52"/>
    <n v="15"/>
    <n v="127.8"/>
  </r>
  <r>
    <x v="288"/>
    <x v="5"/>
    <s v="Внутри сети"/>
    <n v="8.52"/>
    <n v="15"/>
    <n v="127.8"/>
  </r>
  <r>
    <x v="289"/>
    <x v="5"/>
    <s v="Внутри сети"/>
    <n v="8.52"/>
    <n v="15"/>
    <n v="127.8"/>
  </r>
  <r>
    <x v="290"/>
    <x v="5"/>
    <s v="Внутри сети"/>
    <n v="8.52"/>
    <n v="16"/>
    <n v="136.32"/>
  </r>
  <r>
    <x v="272"/>
    <x v="5"/>
    <s v="Внутри сети"/>
    <n v="8.52"/>
    <n v="16"/>
    <n v="136.32"/>
  </r>
  <r>
    <x v="267"/>
    <x v="5"/>
    <s v="Внутри сети"/>
    <n v="8.52"/>
    <n v="16"/>
    <n v="136.32"/>
  </r>
  <r>
    <x v="265"/>
    <x v="5"/>
    <s v="Внутри сети"/>
    <n v="8.52"/>
    <n v="16"/>
    <n v="136.32"/>
  </r>
  <r>
    <x v="255"/>
    <x v="5"/>
    <s v="Внутри сети"/>
    <n v="8.52"/>
    <n v="18"/>
    <n v="153.35999999999999"/>
  </r>
  <r>
    <x v="271"/>
    <x v="5"/>
    <s v="Внутри сети"/>
    <n v="8.52"/>
    <n v="18"/>
    <n v="153.35999999999999"/>
  </r>
  <r>
    <x v="278"/>
    <x v="5"/>
    <s v="Внутри сети"/>
    <n v="8.52"/>
    <n v="19"/>
    <n v="161.88"/>
  </r>
  <r>
    <x v="235"/>
    <x v="5"/>
    <s v="Внутри сети"/>
    <n v="12.79"/>
    <n v="21"/>
    <n v="268.58999999999997"/>
  </r>
  <r>
    <x v="291"/>
    <x v="5"/>
    <s v="Внутри сети"/>
    <n v="12.79"/>
    <n v="22"/>
    <n v="281.38"/>
  </r>
  <r>
    <x v="250"/>
    <x v="5"/>
    <s v="Внутри сети"/>
    <n v="12.79"/>
    <n v="22"/>
    <n v="281.38"/>
  </r>
  <r>
    <x v="233"/>
    <x v="5"/>
    <s v="Внутри сети"/>
    <n v="12.79"/>
    <n v="22"/>
    <n v="281.38"/>
  </r>
  <r>
    <x v="285"/>
    <x v="5"/>
    <s v="Внутри сети"/>
    <n v="12.79"/>
    <n v="22"/>
    <n v="281.38"/>
  </r>
  <r>
    <x v="239"/>
    <x v="5"/>
    <s v="Внутри сети"/>
    <n v="12.79"/>
    <n v="23"/>
    <n v="294.16999999999996"/>
  </r>
  <r>
    <x v="250"/>
    <x v="5"/>
    <s v="На других операторов"/>
    <n v="22.3"/>
    <n v="24"/>
    <n v="535.20000000000005"/>
  </r>
  <r>
    <x v="292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2D0FC-55E8-497F-B3CB-BEBABF3E49AA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B5" firstHeaderRow="0" firstDataRow="1" firstDataCol="0" rowPageCount="2" colPageCount="1"/>
  <pivotFields count="6">
    <pivotField axis="axisPage" dataField="1" showAll="0">
      <items count="294">
        <item x="1"/>
        <item x="40"/>
        <item x="2"/>
        <item x="3"/>
        <item x="23"/>
        <item x="24"/>
        <item x="46"/>
        <item x="4"/>
        <item x="33"/>
        <item x="34"/>
        <item x="71"/>
        <item x="86"/>
        <item x="65"/>
        <item x="17"/>
        <item x="95"/>
        <item x="35"/>
        <item x="18"/>
        <item x="49"/>
        <item x="94"/>
        <item x="84"/>
        <item x="80"/>
        <item x="74"/>
        <item x="60"/>
        <item x="87"/>
        <item x="85"/>
        <item x="81"/>
        <item x="72"/>
        <item x="92"/>
        <item x="82"/>
        <item x="93"/>
        <item x="54"/>
        <item x="73"/>
        <item x="53"/>
        <item x="75"/>
        <item x="59"/>
        <item x="66"/>
        <item x="29"/>
        <item x="83"/>
        <item x="61"/>
        <item x="19"/>
        <item x="77"/>
        <item x="16"/>
        <item x="64"/>
        <item x="78"/>
        <item x="13"/>
        <item x="7"/>
        <item x="63"/>
        <item x="43"/>
        <item x="41"/>
        <item x="55"/>
        <item x="25"/>
        <item x="5"/>
        <item x="51"/>
        <item x="8"/>
        <item x="56"/>
        <item x="20"/>
        <item x="44"/>
        <item x="26"/>
        <item x="68"/>
        <item x="6"/>
        <item x="21"/>
        <item x="9"/>
        <item x="12"/>
        <item x="28"/>
        <item x="10"/>
        <item x="11"/>
        <item x="37"/>
        <item x="0"/>
        <item x="62"/>
        <item x="27"/>
        <item x="91"/>
        <item x="90"/>
        <item x="50"/>
        <item x="67"/>
        <item x="38"/>
        <item x="58"/>
        <item x="69"/>
        <item x="22"/>
        <item x="42"/>
        <item x="76"/>
        <item x="36"/>
        <item x="14"/>
        <item x="70"/>
        <item x="45"/>
        <item x="52"/>
        <item x="30"/>
        <item x="88"/>
        <item x="39"/>
        <item x="47"/>
        <item x="57"/>
        <item x="79"/>
        <item x="31"/>
        <item x="48"/>
        <item x="15"/>
        <item x="32"/>
        <item x="89"/>
        <item x="113"/>
        <item x="127"/>
        <item x="108"/>
        <item x="126"/>
        <item x="109"/>
        <item x="103"/>
        <item x="114"/>
        <item x="117"/>
        <item x="115"/>
        <item x="116"/>
        <item x="125"/>
        <item x="124"/>
        <item x="104"/>
        <item x="111"/>
        <item x="96"/>
        <item x="120"/>
        <item x="97"/>
        <item x="100"/>
        <item x="122"/>
        <item x="118"/>
        <item x="98"/>
        <item x="121"/>
        <item x="99"/>
        <item x="101"/>
        <item x="123"/>
        <item x="119"/>
        <item x="110"/>
        <item x="102"/>
        <item x="106"/>
        <item x="107"/>
        <item x="105"/>
        <item x="112"/>
        <item x="131"/>
        <item x="132"/>
        <item x="135"/>
        <item x="141"/>
        <item x="130"/>
        <item x="129"/>
        <item x="137"/>
        <item x="134"/>
        <item x="128"/>
        <item x="136"/>
        <item x="143"/>
        <item x="140"/>
        <item x="144"/>
        <item x="139"/>
        <item x="138"/>
        <item x="133"/>
        <item x="142"/>
        <item x="147"/>
        <item x="146"/>
        <item x="148"/>
        <item x="145"/>
        <item x="149"/>
        <item x="150"/>
        <item x="152"/>
        <item x="151"/>
        <item x="155"/>
        <item x="176"/>
        <item x="185"/>
        <item x="156"/>
        <item x="157"/>
        <item x="191"/>
        <item x="181"/>
        <item x="186"/>
        <item x="158"/>
        <item x="165"/>
        <item x="187"/>
        <item x="166"/>
        <item x="153"/>
        <item x="159"/>
        <item x="202"/>
        <item x="177"/>
        <item x="199"/>
        <item x="212"/>
        <item x="188"/>
        <item x="154"/>
        <item x="160"/>
        <item x="195"/>
        <item x="193"/>
        <item x="167"/>
        <item x="178"/>
        <item x="161"/>
        <item x="200"/>
        <item x="179"/>
        <item x="196"/>
        <item x="189"/>
        <item x="169"/>
        <item x="162"/>
        <item x="213"/>
        <item x="163"/>
        <item x="190"/>
        <item x="210"/>
        <item x="164"/>
        <item x="182"/>
        <item x="192"/>
        <item x="216"/>
        <item x="208"/>
        <item x="205"/>
        <item x="197"/>
        <item x="168"/>
        <item x="214"/>
        <item x="211"/>
        <item x="217"/>
        <item x="172"/>
        <item x="206"/>
        <item x="223"/>
        <item x="194"/>
        <item x="219"/>
        <item x="227"/>
        <item x="228"/>
        <item x="173"/>
        <item x="221"/>
        <item x="203"/>
        <item x="198"/>
        <item x="204"/>
        <item x="201"/>
        <item x="225"/>
        <item x="183"/>
        <item x="170"/>
        <item x="226"/>
        <item x="218"/>
        <item x="171"/>
        <item x="215"/>
        <item x="224"/>
        <item x="220"/>
        <item x="209"/>
        <item x="222"/>
        <item x="207"/>
        <item x="184"/>
        <item x="175"/>
        <item x="174"/>
        <item x="180"/>
        <item x="249"/>
        <item x="243"/>
        <item x="230"/>
        <item x="259"/>
        <item x="260"/>
        <item x="244"/>
        <item x="231"/>
        <item x="232"/>
        <item x="250"/>
        <item x="233"/>
        <item x="251"/>
        <item x="261"/>
        <item x="264"/>
        <item x="245"/>
        <item x="234"/>
        <item x="281"/>
        <item x="266"/>
        <item x="270"/>
        <item x="273"/>
        <item x="262"/>
        <item x="255"/>
        <item x="277"/>
        <item x="267"/>
        <item x="268"/>
        <item x="229"/>
        <item x="279"/>
        <item x="235"/>
        <item x="252"/>
        <item x="242"/>
        <item x="278"/>
        <item x="236"/>
        <item x="272"/>
        <item x="275"/>
        <item x="282"/>
        <item x="286"/>
        <item x="285"/>
        <item x="247"/>
        <item x="283"/>
        <item x="248"/>
        <item x="269"/>
        <item x="291"/>
        <item x="288"/>
        <item x="256"/>
        <item x="287"/>
        <item x="237"/>
        <item x="238"/>
        <item x="263"/>
        <item x="254"/>
        <item x="239"/>
        <item x="265"/>
        <item x="240"/>
        <item x="253"/>
        <item x="257"/>
        <item x="284"/>
        <item x="289"/>
        <item x="246"/>
        <item x="271"/>
        <item x="274"/>
        <item x="280"/>
        <item x="241"/>
        <item x="276"/>
        <item x="258"/>
        <item x="290"/>
        <item x="292"/>
        <item t="default"/>
      </items>
    </pivotField>
    <pivotField axis="axisPage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0" hier="-1"/>
  </pageFields>
  <dataFields count="2">
    <dataField name="Количество по полю Абонент" fld="0" subtotal="count" baseField="0" baseItem="1"/>
    <dataField name="Сумма по полю Тарифный план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арифный_план" xr10:uid="{7815956D-AC92-4D7F-B383-FE683BCCA0AD}" sourceName="Тарифный план">
  <pivotTables>
    <pivotTable tabId="5" name="Сводная таблица1"/>
  </pivotTables>
  <data>
    <tabular pivotCacheId="434183296">
      <items count="7">
        <i x="0" s="1"/>
        <i x="1" s="1"/>
        <i x="2" s="1"/>
        <i x="3" s="1"/>
        <i x="4" s="1"/>
        <i x="5" s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арифный план" xr10:uid="{4E325F06-D6F5-4D24-9996-FEA00FFE9B8B}" cache="Срез_Тарифный_план" caption="Тарифный план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9" zoomScale="85" zoomScaleNormal="85" workbookViewId="0">
      <selection activeCell="D23" sqref="D23"/>
    </sheetView>
  </sheetViews>
  <sheetFormatPr defaultColWidth="9.08984375" defaultRowHeight="14.5" x14ac:dyDescent="0.35"/>
  <cols>
    <col min="1" max="1" width="2.36328125" style="5" customWidth="1"/>
    <col min="2" max="2" width="12.453125" style="9" customWidth="1"/>
    <col min="3" max="3" width="63.6328125" style="8" customWidth="1"/>
    <col min="4" max="4" width="21.08984375" style="4" customWidth="1"/>
    <col min="5" max="5" width="1.6328125" style="7" customWidth="1"/>
    <col min="6" max="6" width="20.54296875" style="9" customWidth="1"/>
    <col min="7" max="7" width="16.453125" style="8" customWidth="1"/>
    <col min="8" max="13" width="15.6328125" style="8" customWidth="1"/>
    <col min="14" max="14" width="16.54296875" style="8" customWidth="1"/>
    <col min="15" max="15" width="15.6328125" style="27" hidden="1" customWidth="1"/>
    <col min="16" max="16" width="8" style="28" hidden="1" customWidth="1"/>
    <col min="17" max="32" width="15.6328125" style="7" customWidth="1"/>
    <col min="33" max="33" width="15.6328125" style="10" customWidth="1"/>
    <col min="34" max="16384" width="9.08984375" style="10"/>
  </cols>
  <sheetData>
    <row r="2" spans="1:16" x14ac:dyDescent="0.3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5">
      <c r="A3" s="5">
        <v>1</v>
      </c>
      <c r="B3" s="11">
        <v>1</v>
      </c>
      <c r="C3" s="12" t="s">
        <v>11</v>
      </c>
      <c r="D3" s="2">
        <v>3899.58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2"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v>3172.39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v>63</v>
      </c>
      <c r="F18" s="11" t="str">
        <f>IF(ISERROR(IF(D18=D18,"Правильный ответ","Неправильный ответ")),"Неправильный ответ",IF(D18=O18,"Правильный ответ","Неправильный ответ"))</f>
        <v>Правильный ответ</v>
      </c>
      <c r="O18" s="5">
        <v>63</v>
      </c>
      <c r="P18" s="31"/>
    </row>
    <row r="19" spans="1:16" ht="45.75" customHeight="1" x14ac:dyDescent="0.3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"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6" t="s">
        <v>21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5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5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5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5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5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9787-1EB6-43EF-96B6-EBF4DBF2747D}">
  <dimension ref="A1:B5"/>
  <sheetViews>
    <sheetView workbookViewId="0">
      <selection activeCell="A4" sqref="A4"/>
    </sheetView>
  </sheetViews>
  <sheetFormatPr defaultRowHeight="14.5" x14ac:dyDescent="0.35"/>
  <cols>
    <col min="1" max="1" width="27" bestFit="1" customWidth="1"/>
    <col min="2" max="2" width="29.453125" bestFit="1" customWidth="1"/>
  </cols>
  <sheetData>
    <row r="1" spans="1:2" x14ac:dyDescent="0.35">
      <c r="A1" s="41" t="s">
        <v>8</v>
      </c>
      <c r="B1" t="s">
        <v>20</v>
      </c>
    </row>
    <row r="2" spans="1:2" x14ac:dyDescent="0.35">
      <c r="A2" s="41" t="s">
        <v>9</v>
      </c>
      <c r="B2" t="s">
        <v>20</v>
      </c>
    </row>
    <row r="4" spans="1:2" x14ac:dyDescent="0.35">
      <c r="A4" t="s">
        <v>18</v>
      </c>
      <c r="B4" t="s">
        <v>19</v>
      </c>
    </row>
    <row r="5" spans="1:2" x14ac:dyDescent="0.35">
      <c r="A5">
        <v>623</v>
      </c>
      <c r="B5">
        <v>1943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 filterMode="1"/>
  <dimension ref="A1:L624"/>
  <sheetViews>
    <sheetView zoomScale="85" zoomScaleNormal="85" workbookViewId="0">
      <selection activeCell="K6" sqref="K6"/>
    </sheetView>
  </sheetViews>
  <sheetFormatPr defaultRowHeight="14.5" x14ac:dyDescent="0.35"/>
  <cols>
    <col min="1" max="1" width="20.54296875" style="26" customWidth="1"/>
    <col min="2" max="2" width="16.6328125" style="26" customWidth="1"/>
    <col min="3" max="3" width="32.54296875" style="26" customWidth="1"/>
    <col min="4" max="4" width="18.36328125" style="26" customWidth="1"/>
    <col min="5" max="5" width="24" style="35" customWidth="1"/>
    <col min="8" max="8" width="10.54296875" bestFit="1" customWidth="1"/>
    <col min="9" max="9" width="12.7265625" bestFit="1" customWidth="1"/>
  </cols>
  <sheetData>
    <row r="1" spans="1:12" s="1" customFormat="1" ht="29" x14ac:dyDescent="0.35">
      <c r="A1" s="18" t="s">
        <v>9</v>
      </c>
      <c r="B1" s="19" t="s">
        <v>8</v>
      </c>
      <c r="C1" s="18" t="s">
        <v>7</v>
      </c>
      <c r="D1" s="19" t="s">
        <v>5</v>
      </c>
      <c r="E1" s="37" t="s">
        <v>6</v>
      </c>
      <c r="F1" s="1" t="s">
        <v>17</v>
      </c>
    </row>
    <row r="2" spans="1:12" hidden="1" x14ac:dyDescent="0.35">
      <c r="A2" s="20">
        <v>77010000068</v>
      </c>
      <c r="B2" s="20">
        <v>1</v>
      </c>
      <c r="C2" s="21" t="s">
        <v>0</v>
      </c>
      <c r="D2" s="20">
        <v>0</v>
      </c>
      <c r="E2" s="38">
        <v>0</v>
      </c>
      <c r="F2">
        <f t="shared" ref="F2:F65" si="0">D2*E2</f>
        <v>0</v>
      </c>
      <c r="G2">
        <f>E2/60</f>
        <v>0</v>
      </c>
      <c r="H2">
        <f>COUNTIF(C:C,C2)</f>
        <v>571</v>
      </c>
      <c r="I2">
        <f t="shared" ref="I2:I65" si="1">_xlfn.UNIQUE(A2,$A:$A,A2)</f>
        <v>77010000068</v>
      </c>
      <c r="J2" t="e" cm="1">
        <f t="array" ref="J2">Д</f>
        <v>#NAME?</v>
      </c>
      <c r="K2">
        <f>ROUND(SUM(D2:D1000)/COUNT(_xlfn.UNIQUE(A2:A1000)), 2)</f>
        <v>13.35</v>
      </c>
      <c r="L2">
        <f>ROUND(SUM(G2:G1000)/COUNT(_xlfn.UNIQUE(A2:A1000)), 2)</f>
        <v>0.45</v>
      </c>
    </row>
    <row r="3" spans="1:12" hidden="1" x14ac:dyDescent="0.35">
      <c r="A3" s="22">
        <v>77010000001</v>
      </c>
      <c r="B3" s="22">
        <v>1</v>
      </c>
      <c r="C3" s="23" t="s">
        <v>0</v>
      </c>
      <c r="D3" s="22">
        <v>0.43</v>
      </c>
      <c r="E3" s="39">
        <v>1</v>
      </c>
      <c r="F3">
        <f t="shared" si="0"/>
        <v>0.43</v>
      </c>
      <c r="G3">
        <f t="shared" ref="G3:G66" si="2">E3/60</f>
        <v>1.6666666666666666E-2</v>
      </c>
      <c r="H3">
        <v>6</v>
      </c>
      <c r="I3">
        <f t="shared" si="1"/>
        <v>77010000001</v>
      </c>
    </row>
    <row r="4" spans="1:12" hidden="1" x14ac:dyDescent="0.35">
      <c r="A4" s="22">
        <v>77010000003</v>
      </c>
      <c r="B4" s="22">
        <v>1</v>
      </c>
      <c r="C4" s="23" t="s">
        <v>0</v>
      </c>
      <c r="D4" s="22">
        <v>0.43</v>
      </c>
      <c r="E4" s="39">
        <v>1</v>
      </c>
      <c r="F4">
        <f t="shared" si="0"/>
        <v>0.43</v>
      </c>
      <c r="G4">
        <f t="shared" si="2"/>
        <v>1.6666666666666666E-2</v>
      </c>
      <c r="I4">
        <f t="shared" si="1"/>
        <v>77010000003</v>
      </c>
    </row>
    <row r="5" spans="1:12" hidden="1" x14ac:dyDescent="0.35">
      <c r="A5" s="22">
        <v>77010000004</v>
      </c>
      <c r="B5" s="22">
        <v>1</v>
      </c>
      <c r="C5" s="23" t="s">
        <v>0</v>
      </c>
      <c r="D5" s="22">
        <v>0.43</v>
      </c>
      <c r="E5" s="39">
        <v>1</v>
      </c>
      <c r="F5">
        <f t="shared" si="0"/>
        <v>0.43</v>
      </c>
      <c r="G5">
        <f t="shared" si="2"/>
        <v>1.6666666666666666E-2</v>
      </c>
      <c r="I5">
        <f t="shared" si="1"/>
        <v>77010000004</v>
      </c>
      <c r="K5">
        <f>SUMIF(A2:A624,A135,E2:E624)</f>
        <v>76</v>
      </c>
    </row>
    <row r="6" spans="1:12" hidden="1" x14ac:dyDescent="0.35">
      <c r="A6" s="22">
        <v>77010000008</v>
      </c>
      <c r="B6" s="22">
        <v>1</v>
      </c>
      <c r="C6" s="23" t="s">
        <v>0</v>
      </c>
      <c r="D6" s="22">
        <v>0.43</v>
      </c>
      <c r="E6" s="39">
        <v>1</v>
      </c>
      <c r="F6">
        <f t="shared" si="0"/>
        <v>0.43</v>
      </c>
      <c r="G6">
        <f t="shared" si="2"/>
        <v>1.6666666666666666E-2</v>
      </c>
      <c r="I6">
        <f t="shared" si="1"/>
        <v>77010000008</v>
      </c>
    </row>
    <row r="7" spans="1:12" hidden="1" x14ac:dyDescent="0.35">
      <c r="A7" s="22">
        <v>77010000052</v>
      </c>
      <c r="B7" s="22">
        <v>1</v>
      </c>
      <c r="C7" s="23" t="s">
        <v>0</v>
      </c>
      <c r="D7" s="22">
        <v>0.43</v>
      </c>
      <c r="E7" s="39">
        <v>1</v>
      </c>
      <c r="F7">
        <f t="shared" si="0"/>
        <v>0.43</v>
      </c>
      <c r="G7">
        <f t="shared" si="2"/>
        <v>1.6666666666666666E-2</v>
      </c>
      <c r="I7">
        <f t="shared" si="1"/>
        <v>77010000052</v>
      </c>
    </row>
    <row r="8" spans="1:12" hidden="1" x14ac:dyDescent="0.35">
      <c r="A8" s="22">
        <v>77010000060</v>
      </c>
      <c r="B8" s="22">
        <v>1</v>
      </c>
      <c r="C8" s="23" t="s">
        <v>0</v>
      </c>
      <c r="D8" s="22">
        <v>0.43</v>
      </c>
      <c r="E8" s="39">
        <v>1</v>
      </c>
      <c r="F8">
        <f t="shared" si="0"/>
        <v>0.43</v>
      </c>
      <c r="G8">
        <f t="shared" si="2"/>
        <v>1.6666666666666666E-2</v>
      </c>
      <c r="I8">
        <f t="shared" si="1"/>
        <v>77010000060</v>
      </c>
    </row>
    <row r="9" spans="1:12" hidden="1" x14ac:dyDescent="0.35">
      <c r="A9" s="22">
        <v>77010000046</v>
      </c>
      <c r="B9" s="22">
        <v>1</v>
      </c>
      <c r="C9" s="23" t="s">
        <v>0</v>
      </c>
      <c r="D9" s="22">
        <v>0.43</v>
      </c>
      <c r="E9" s="39">
        <v>1</v>
      </c>
      <c r="F9">
        <f t="shared" si="0"/>
        <v>0.43</v>
      </c>
      <c r="G9">
        <f t="shared" si="2"/>
        <v>1.6666666666666666E-2</v>
      </c>
      <c r="I9">
        <f t="shared" si="1"/>
        <v>77010000046</v>
      </c>
    </row>
    <row r="10" spans="1:12" hidden="1" x14ac:dyDescent="0.35">
      <c r="A10" s="22">
        <v>77010000054</v>
      </c>
      <c r="B10" s="22">
        <v>1</v>
      </c>
      <c r="C10" s="23" t="s">
        <v>0</v>
      </c>
      <c r="D10" s="22">
        <v>0.43</v>
      </c>
      <c r="E10" s="39">
        <v>1</v>
      </c>
      <c r="F10">
        <f t="shared" si="0"/>
        <v>0.43</v>
      </c>
      <c r="G10">
        <f t="shared" si="2"/>
        <v>1.6666666666666666E-2</v>
      </c>
      <c r="I10">
        <f t="shared" si="1"/>
        <v>77010000054</v>
      </c>
    </row>
    <row r="11" spans="1:12" hidden="1" x14ac:dyDescent="0.35">
      <c r="A11" s="22">
        <v>77010000062</v>
      </c>
      <c r="B11" s="22">
        <v>1</v>
      </c>
      <c r="C11" s="23" t="s">
        <v>0</v>
      </c>
      <c r="D11" s="22">
        <v>0.43</v>
      </c>
      <c r="E11" s="39">
        <v>1</v>
      </c>
      <c r="F11">
        <f t="shared" si="0"/>
        <v>0.43</v>
      </c>
      <c r="G11">
        <f t="shared" si="2"/>
        <v>1.6666666666666666E-2</v>
      </c>
      <c r="I11">
        <f t="shared" si="1"/>
        <v>77010000062</v>
      </c>
    </row>
    <row r="12" spans="1:12" hidden="1" x14ac:dyDescent="0.35">
      <c r="A12" s="22">
        <v>77010000065</v>
      </c>
      <c r="B12" s="22">
        <v>1</v>
      </c>
      <c r="C12" s="23" t="s">
        <v>0</v>
      </c>
      <c r="D12" s="22">
        <v>0.43</v>
      </c>
      <c r="E12" s="39">
        <v>1</v>
      </c>
      <c r="F12">
        <f t="shared" si="0"/>
        <v>0.43</v>
      </c>
      <c r="G12">
        <f t="shared" si="2"/>
        <v>1.6666666666666666E-2</v>
      </c>
      <c r="I12">
        <f t="shared" si="1"/>
        <v>77010000065</v>
      </c>
    </row>
    <row r="13" spans="1:12" hidden="1" x14ac:dyDescent="0.35">
      <c r="A13" s="22">
        <v>77010000066</v>
      </c>
      <c r="B13" s="22">
        <v>1</v>
      </c>
      <c r="C13" s="23" t="s">
        <v>0</v>
      </c>
      <c r="D13" s="22">
        <v>0.43</v>
      </c>
      <c r="E13" s="39">
        <v>1</v>
      </c>
      <c r="F13">
        <f t="shared" si="0"/>
        <v>0.43</v>
      </c>
      <c r="G13">
        <f t="shared" si="2"/>
        <v>1.6666666666666666E-2</v>
      </c>
      <c r="I13">
        <f t="shared" si="1"/>
        <v>77010000066</v>
      </c>
    </row>
    <row r="14" spans="1:12" hidden="1" x14ac:dyDescent="0.35">
      <c r="A14" s="22">
        <v>77010000063</v>
      </c>
      <c r="B14" s="22">
        <v>1</v>
      </c>
      <c r="C14" s="23" t="s">
        <v>1</v>
      </c>
      <c r="D14" s="22">
        <v>7.43</v>
      </c>
      <c r="E14" s="39">
        <v>1</v>
      </c>
      <c r="F14">
        <f t="shared" si="0"/>
        <v>7.43</v>
      </c>
      <c r="G14">
        <f t="shared" si="2"/>
        <v>1.6666666666666666E-2</v>
      </c>
      <c r="I14">
        <f t="shared" si="1"/>
        <v>77010000063</v>
      </c>
    </row>
    <row r="15" spans="1:12" hidden="1" x14ac:dyDescent="0.35">
      <c r="A15" s="22">
        <v>77010000066</v>
      </c>
      <c r="B15" s="22">
        <v>1</v>
      </c>
      <c r="C15" s="23" t="s">
        <v>0</v>
      </c>
      <c r="D15" s="22">
        <v>0.43</v>
      </c>
      <c r="E15" s="39">
        <v>1</v>
      </c>
      <c r="F15">
        <f t="shared" si="0"/>
        <v>0.43</v>
      </c>
      <c r="G15">
        <f t="shared" si="2"/>
        <v>1.6666666666666666E-2</v>
      </c>
      <c r="I15">
        <f t="shared" si="1"/>
        <v>77010000066</v>
      </c>
    </row>
    <row r="16" spans="1:12" hidden="1" x14ac:dyDescent="0.35">
      <c r="A16" s="22">
        <v>77010000045</v>
      </c>
      <c r="B16" s="22">
        <v>1</v>
      </c>
      <c r="C16" s="23" t="s">
        <v>0</v>
      </c>
      <c r="D16" s="22">
        <v>0.43</v>
      </c>
      <c r="E16" s="39">
        <v>1</v>
      </c>
      <c r="F16">
        <f t="shared" si="0"/>
        <v>0.43</v>
      </c>
      <c r="G16">
        <f t="shared" si="2"/>
        <v>1.6666666666666666E-2</v>
      </c>
      <c r="I16">
        <f t="shared" si="1"/>
        <v>77010000045</v>
      </c>
    </row>
    <row r="17" spans="1:9" hidden="1" x14ac:dyDescent="0.35">
      <c r="A17" s="22">
        <v>77010000082</v>
      </c>
      <c r="B17" s="22">
        <v>1</v>
      </c>
      <c r="C17" s="23" t="s">
        <v>0</v>
      </c>
      <c r="D17" s="22">
        <v>0.43</v>
      </c>
      <c r="E17" s="39">
        <v>1</v>
      </c>
      <c r="F17">
        <f t="shared" si="0"/>
        <v>0.43</v>
      </c>
      <c r="G17">
        <f t="shared" si="2"/>
        <v>1.6666666666666666E-2</v>
      </c>
      <c r="I17">
        <f t="shared" si="1"/>
        <v>77010000082</v>
      </c>
    </row>
    <row r="18" spans="1:9" hidden="1" x14ac:dyDescent="0.35">
      <c r="A18" s="22">
        <v>77010000094</v>
      </c>
      <c r="B18" s="22">
        <v>1</v>
      </c>
      <c r="C18" s="23" t="s">
        <v>0</v>
      </c>
      <c r="D18" s="22">
        <v>0.43</v>
      </c>
      <c r="E18" s="39">
        <v>1</v>
      </c>
      <c r="F18">
        <f t="shared" si="0"/>
        <v>0.43</v>
      </c>
      <c r="G18">
        <f t="shared" si="2"/>
        <v>1.6666666666666666E-2</v>
      </c>
      <c r="I18">
        <f t="shared" si="1"/>
        <v>77010000094</v>
      </c>
    </row>
    <row r="19" spans="1:9" hidden="1" x14ac:dyDescent="0.35">
      <c r="A19" s="22">
        <v>77010000003</v>
      </c>
      <c r="B19" s="22">
        <v>1</v>
      </c>
      <c r="C19" s="23" t="s">
        <v>0</v>
      </c>
      <c r="D19" s="22">
        <v>0.43</v>
      </c>
      <c r="E19" s="39">
        <v>1</v>
      </c>
      <c r="F19">
        <f t="shared" si="0"/>
        <v>0.43</v>
      </c>
      <c r="G19">
        <f t="shared" si="2"/>
        <v>1.6666666666666666E-2</v>
      </c>
      <c r="I19">
        <f t="shared" si="1"/>
        <v>77010000003</v>
      </c>
    </row>
    <row r="20" spans="1:9" hidden="1" x14ac:dyDescent="0.35">
      <c r="A20" s="22">
        <v>77010000042</v>
      </c>
      <c r="B20" s="22">
        <v>1</v>
      </c>
      <c r="C20" s="23" t="s">
        <v>2</v>
      </c>
      <c r="D20" s="22">
        <v>7.43</v>
      </c>
      <c r="E20" s="39">
        <v>1</v>
      </c>
      <c r="F20">
        <f t="shared" si="0"/>
        <v>7.43</v>
      </c>
      <c r="G20">
        <f t="shared" si="2"/>
        <v>1.6666666666666666E-2</v>
      </c>
      <c r="I20">
        <f t="shared" si="1"/>
        <v>77010000042</v>
      </c>
    </row>
    <row r="21" spans="1:9" hidden="1" x14ac:dyDescent="0.35">
      <c r="A21" s="22">
        <v>77010000008</v>
      </c>
      <c r="B21" s="22">
        <v>1</v>
      </c>
      <c r="C21" s="23" t="s">
        <v>0</v>
      </c>
      <c r="D21" s="22">
        <v>0.43</v>
      </c>
      <c r="E21" s="39">
        <v>1</v>
      </c>
      <c r="F21">
        <f t="shared" si="0"/>
        <v>0.43</v>
      </c>
      <c r="G21">
        <f t="shared" si="2"/>
        <v>1.6666666666666666E-2</v>
      </c>
      <c r="I21">
        <f t="shared" si="1"/>
        <v>77010000008</v>
      </c>
    </row>
    <row r="22" spans="1:9" hidden="1" x14ac:dyDescent="0.35">
      <c r="A22" s="22">
        <v>77010000014</v>
      </c>
      <c r="B22" s="22">
        <v>1</v>
      </c>
      <c r="C22" s="23" t="s">
        <v>0</v>
      </c>
      <c r="D22" s="22">
        <v>0.43</v>
      </c>
      <c r="E22" s="39">
        <v>1</v>
      </c>
      <c r="F22">
        <f t="shared" si="0"/>
        <v>0.43</v>
      </c>
      <c r="G22">
        <f t="shared" si="2"/>
        <v>1.6666666666666666E-2</v>
      </c>
      <c r="I22">
        <f t="shared" si="1"/>
        <v>77010000014</v>
      </c>
    </row>
    <row r="23" spans="1:9" hidden="1" x14ac:dyDescent="0.35">
      <c r="A23" s="22">
        <v>77010000017</v>
      </c>
      <c r="B23" s="22">
        <v>1</v>
      </c>
      <c r="C23" s="23" t="s">
        <v>0</v>
      </c>
      <c r="D23" s="22">
        <v>0.43</v>
      </c>
      <c r="E23" s="39">
        <v>1</v>
      </c>
      <c r="F23">
        <f t="shared" si="0"/>
        <v>0.43</v>
      </c>
      <c r="G23">
        <f t="shared" si="2"/>
        <v>1.6666666666666666E-2</v>
      </c>
      <c r="I23">
        <f t="shared" si="1"/>
        <v>77010000017</v>
      </c>
    </row>
    <row r="24" spans="1:9" hidden="1" x14ac:dyDescent="0.35">
      <c r="A24" s="22">
        <v>77010000040</v>
      </c>
      <c r="B24" s="22">
        <v>1</v>
      </c>
      <c r="C24" s="23" t="s">
        <v>0</v>
      </c>
      <c r="D24" s="22">
        <v>0.43</v>
      </c>
      <c r="E24" s="39">
        <v>1</v>
      </c>
      <c r="F24">
        <f t="shared" si="0"/>
        <v>0.43</v>
      </c>
      <c r="G24">
        <f t="shared" si="2"/>
        <v>1.6666666666666666E-2</v>
      </c>
      <c r="I24">
        <f t="shared" si="1"/>
        <v>77010000040</v>
      </c>
    </row>
    <row r="25" spans="1:9" hidden="1" x14ac:dyDescent="0.35">
      <c r="A25" s="22">
        <v>77010000056</v>
      </c>
      <c r="B25" s="22">
        <v>1</v>
      </c>
      <c r="C25" s="23" t="s">
        <v>0</v>
      </c>
      <c r="D25" s="22">
        <v>0.43</v>
      </c>
      <c r="E25" s="39">
        <v>1</v>
      </c>
      <c r="F25">
        <f t="shared" si="0"/>
        <v>0.43</v>
      </c>
      <c r="G25">
        <f t="shared" si="2"/>
        <v>1.6666666666666666E-2</v>
      </c>
      <c r="I25">
        <f t="shared" si="1"/>
        <v>77010000056</v>
      </c>
    </row>
    <row r="26" spans="1:9" hidden="1" x14ac:dyDescent="0.35">
      <c r="A26" s="22">
        <v>77010000061</v>
      </c>
      <c r="B26" s="22">
        <v>1</v>
      </c>
      <c r="C26" s="23" t="s">
        <v>0</v>
      </c>
      <c r="D26" s="22">
        <v>0.43</v>
      </c>
      <c r="E26" s="39">
        <v>1</v>
      </c>
      <c r="F26">
        <f t="shared" si="0"/>
        <v>0.43</v>
      </c>
      <c r="G26">
        <f t="shared" si="2"/>
        <v>1.6666666666666666E-2</v>
      </c>
      <c r="I26">
        <f t="shared" si="1"/>
        <v>77010000061</v>
      </c>
    </row>
    <row r="27" spans="1:9" hidden="1" x14ac:dyDescent="0.35">
      <c r="A27" s="22">
        <v>77010000078</v>
      </c>
      <c r="B27" s="22">
        <v>1</v>
      </c>
      <c r="C27" s="23" t="s">
        <v>0</v>
      </c>
      <c r="D27" s="22">
        <v>0.43</v>
      </c>
      <c r="E27" s="39">
        <v>1</v>
      </c>
      <c r="F27">
        <f t="shared" si="0"/>
        <v>0.43</v>
      </c>
      <c r="G27">
        <f t="shared" si="2"/>
        <v>1.6666666666666666E-2</v>
      </c>
      <c r="I27">
        <f t="shared" si="1"/>
        <v>77010000078</v>
      </c>
    </row>
    <row r="28" spans="1:9" hidden="1" x14ac:dyDescent="0.35">
      <c r="A28" s="22">
        <v>77010000005</v>
      </c>
      <c r="B28" s="22">
        <v>1</v>
      </c>
      <c r="C28" s="23" t="s">
        <v>0</v>
      </c>
      <c r="D28" s="22">
        <v>0.85</v>
      </c>
      <c r="E28" s="39">
        <v>2</v>
      </c>
      <c r="F28">
        <f t="shared" si="0"/>
        <v>1.7</v>
      </c>
      <c r="G28">
        <f t="shared" si="2"/>
        <v>3.3333333333333333E-2</v>
      </c>
      <c r="I28">
        <f t="shared" si="1"/>
        <v>77010000005</v>
      </c>
    </row>
    <row r="29" spans="1:9" hidden="1" x14ac:dyDescent="0.35">
      <c r="A29" s="22">
        <v>77010000006</v>
      </c>
      <c r="B29" s="22">
        <v>1</v>
      </c>
      <c r="C29" s="23" t="s">
        <v>0</v>
      </c>
      <c r="D29" s="22">
        <v>0.85</v>
      </c>
      <c r="E29" s="39">
        <v>2</v>
      </c>
      <c r="F29">
        <f t="shared" si="0"/>
        <v>1.7</v>
      </c>
      <c r="G29">
        <f t="shared" si="2"/>
        <v>3.3333333333333333E-2</v>
      </c>
      <c r="I29">
        <f t="shared" si="1"/>
        <v>77010000006</v>
      </c>
    </row>
    <row r="30" spans="1:9" hidden="1" x14ac:dyDescent="0.35">
      <c r="A30" s="22">
        <v>77010000051</v>
      </c>
      <c r="B30" s="22">
        <v>1</v>
      </c>
      <c r="C30" s="23" t="s">
        <v>1</v>
      </c>
      <c r="D30" s="22">
        <v>7.43</v>
      </c>
      <c r="E30" s="39">
        <v>2</v>
      </c>
      <c r="F30">
        <f t="shared" si="0"/>
        <v>14.86</v>
      </c>
      <c r="G30">
        <f t="shared" si="2"/>
        <v>3.3333333333333333E-2</v>
      </c>
      <c r="I30">
        <f t="shared" si="1"/>
        <v>77010000051</v>
      </c>
    </row>
    <row r="31" spans="1:9" hidden="1" x14ac:dyDescent="0.35">
      <c r="A31" s="22">
        <v>77010000058</v>
      </c>
      <c r="B31" s="22">
        <v>1</v>
      </c>
      <c r="C31" s="23" t="s">
        <v>0</v>
      </c>
      <c r="D31" s="22">
        <v>0.85</v>
      </c>
      <c r="E31" s="39">
        <v>2</v>
      </c>
      <c r="F31">
        <f t="shared" si="0"/>
        <v>1.7</v>
      </c>
      <c r="G31">
        <f t="shared" si="2"/>
        <v>3.3333333333333333E-2</v>
      </c>
      <c r="I31">
        <f t="shared" si="1"/>
        <v>77010000058</v>
      </c>
    </row>
    <row r="32" spans="1:9" hidden="1" x14ac:dyDescent="0.35">
      <c r="A32" s="22">
        <v>77010000070</v>
      </c>
      <c r="B32" s="22">
        <v>1</v>
      </c>
      <c r="C32" s="23" t="s">
        <v>0</v>
      </c>
      <c r="D32" s="22">
        <v>0.85</v>
      </c>
      <c r="E32" s="39">
        <v>2</v>
      </c>
      <c r="F32">
        <f t="shared" si="0"/>
        <v>1.7</v>
      </c>
      <c r="G32">
        <f t="shared" si="2"/>
        <v>3.3333333333333333E-2</v>
      </c>
      <c r="I32">
        <f t="shared" si="1"/>
        <v>77010000070</v>
      </c>
    </row>
    <row r="33" spans="1:9" hidden="1" x14ac:dyDescent="0.35">
      <c r="A33" s="22">
        <v>77010000058</v>
      </c>
      <c r="B33" s="22">
        <v>1</v>
      </c>
      <c r="C33" s="23" t="s">
        <v>0</v>
      </c>
      <c r="D33" s="22">
        <v>0.85</v>
      </c>
      <c r="E33" s="39">
        <v>2</v>
      </c>
      <c r="F33">
        <f t="shared" si="0"/>
        <v>1.7</v>
      </c>
      <c r="G33">
        <f t="shared" si="2"/>
        <v>3.3333333333333333E-2</v>
      </c>
      <c r="I33">
        <f t="shared" si="1"/>
        <v>77010000058</v>
      </c>
    </row>
    <row r="34" spans="1:9" hidden="1" x14ac:dyDescent="0.35">
      <c r="A34" s="22">
        <v>77010000064</v>
      </c>
      <c r="B34" s="22">
        <v>1</v>
      </c>
      <c r="C34" s="23" t="s">
        <v>0</v>
      </c>
      <c r="D34" s="22">
        <v>0.85</v>
      </c>
      <c r="E34" s="39">
        <v>2</v>
      </c>
      <c r="F34">
        <f t="shared" si="0"/>
        <v>1.7</v>
      </c>
      <c r="G34">
        <f t="shared" si="2"/>
        <v>3.3333333333333333E-2</v>
      </c>
      <c r="I34">
        <f t="shared" si="1"/>
        <v>77010000064</v>
      </c>
    </row>
    <row r="35" spans="1:9" hidden="1" x14ac:dyDescent="0.35">
      <c r="A35" s="22">
        <v>77010000065</v>
      </c>
      <c r="B35" s="22">
        <v>1</v>
      </c>
      <c r="C35" s="23" t="s">
        <v>0</v>
      </c>
      <c r="D35" s="22">
        <v>0.85</v>
      </c>
      <c r="E35" s="39">
        <v>2</v>
      </c>
      <c r="F35">
        <f t="shared" si="0"/>
        <v>1.7</v>
      </c>
      <c r="G35">
        <f t="shared" si="2"/>
        <v>3.3333333333333333E-2</v>
      </c>
      <c r="I35">
        <f t="shared" si="1"/>
        <v>77010000065</v>
      </c>
    </row>
    <row r="36" spans="1:9" hidden="1" x14ac:dyDescent="0.35">
      <c r="A36" s="22">
        <v>77010000037</v>
      </c>
      <c r="B36" s="22">
        <v>1</v>
      </c>
      <c r="C36" s="23" t="s">
        <v>2</v>
      </c>
      <c r="D36" s="22">
        <v>7.43</v>
      </c>
      <c r="E36" s="39">
        <v>2</v>
      </c>
      <c r="F36">
        <f t="shared" si="0"/>
        <v>14.86</v>
      </c>
      <c r="G36">
        <f t="shared" si="2"/>
        <v>3.3333333333333333E-2</v>
      </c>
      <c r="I36">
        <f t="shared" si="1"/>
        <v>77010000037</v>
      </c>
    </row>
    <row r="37" spans="1:9" hidden="1" x14ac:dyDescent="0.35">
      <c r="A37" s="22">
        <v>77010000078</v>
      </c>
      <c r="B37" s="22">
        <v>1</v>
      </c>
      <c r="C37" s="23" t="s">
        <v>0</v>
      </c>
      <c r="D37" s="22">
        <v>0.85</v>
      </c>
      <c r="E37" s="39">
        <v>2</v>
      </c>
      <c r="F37">
        <f t="shared" si="0"/>
        <v>1.7</v>
      </c>
      <c r="G37">
        <f t="shared" si="2"/>
        <v>3.3333333333333333E-2</v>
      </c>
      <c r="I37">
        <f t="shared" si="1"/>
        <v>77010000078</v>
      </c>
    </row>
    <row r="38" spans="1:9" hidden="1" x14ac:dyDescent="0.35">
      <c r="A38" s="22">
        <v>77010000086</v>
      </c>
      <c r="B38" s="22">
        <v>1</v>
      </c>
      <c r="C38" s="23" t="s">
        <v>0</v>
      </c>
      <c r="D38" s="22">
        <v>0.85</v>
      </c>
      <c r="E38" s="39">
        <v>2</v>
      </c>
      <c r="F38">
        <f t="shared" si="0"/>
        <v>1.7</v>
      </c>
      <c r="G38">
        <f t="shared" si="2"/>
        <v>3.3333333333333333E-2</v>
      </c>
      <c r="I38">
        <f t="shared" si="1"/>
        <v>77010000086</v>
      </c>
    </row>
    <row r="39" spans="1:9" hidden="1" x14ac:dyDescent="0.35">
      <c r="A39" s="22">
        <v>77010000092</v>
      </c>
      <c r="B39" s="22">
        <v>1</v>
      </c>
      <c r="C39" s="23" t="s">
        <v>0</v>
      </c>
      <c r="D39" s="22">
        <v>0.85</v>
      </c>
      <c r="E39" s="39">
        <v>2</v>
      </c>
      <c r="F39">
        <f t="shared" si="0"/>
        <v>1.7</v>
      </c>
      <c r="G39">
        <f t="shared" si="2"/>
        <v>3.3333333333333333E-2</v>
      </c>
      <c r="I39">
        <f t="shared" si="1"/>
        <v>77010000092</v>
      </c>
    </row>
    <row r="40" spans="1:9" hidden="1" x14ac:dyDescent="0.35">
      <c r="A40" s="22">
        <v>77010000095</v>
      </c>
      <c r="B40" s="22">
        <v>1</v>
      </c>
      <c r="C40" s="23" t="s">
        <v>0</v>
      </c>
      <c r="D40" s="22">
        <v>0.85</v>
      </c>
      <c r="E40" s="39">
        <v>2</v>
      </c>
      <c r="F40">
        <f t="shared" si="0"/>
        <v>1.7</v>
      </c>
      <c r="G40">
        <f t="shared" si="2"/>
        <v>3.3333333333333333E-2</v>
      </c>
      <c r="I40">
        <f t="shared" si="1"/>
        <v>77010000095</v>
      </c>
    </row>
    <row r="41" spans="1:9" hidden="1" x14ac:dyDescent="0.35">
      <c r="A41" s="22">
        <v>77010000001</v>
      </c>
      <c r="B41" s="22">
        <v>1</v>
      </c>
      <c r="C41" s="23" t="s">
        <v>0</v>
      </c>
      <c r="D41" s="22">
        <v>0.85</v>
      </c>
      <c r="E41" s="39">
        <v>2</v>
      </c>
      <c r="F41">
        <f t="shared" si="0"/>
        <v>1.7</v>
      </c>
      <c r="G41">
        <f t="shared" si="2"/>
        <v>3.3333333333333333E-2</v>
      </c>
      <c r="I41">
        <f t="shared" si="1"/>
        <v>77010000001</v>
      </c>
    </row>
    <row r="42" spans="1:9" hidden="1" x14ac:dyDescent="0.35">
      <c r="A42" s="22">
        <v>77010000009</v>
      </c>
      <c r="B42" s="22">
        <v>1</v>
      </c>
      <c r="C42" s="23" t="s">
        <v>0</v>
      </c>
      <c r="D42" s="22">
        <v>0.85</v>
      </c>
      <c r="E42" s="39">
        <v>2</v>
      </c>
      <c r="F42">
        <f t="shared" si="0"/>
        <v>1.7</v>
      </c>
      <c r="G42">
        <f t="shared" si="2"/>
        <v>3.3333333333333333E-2</v>
      </c>
      <c r="I42">
        <f t="shared" si="1"/>
        <v>77010000009</v>
      </c>
    </row>
    <row r="43" spans="1:9" hidden="1" x14ac:dyDescent="0.35">
      <c r="A43" s="22">
        <v>77010000010</v>
      </c>
      <c r="B43" s="22">
        <v>1</v>
      </c>
      <c r="C43" s="23" t="s">
        <v>0</v>
      </c>
      <c r="D43" s="22">
        <v>0.85</v>
      </c>
      <c r="E43" s="39">
        <v>2</v>
      </c>
      <c r="F43">
        <f t="shared" si="0"/>
        <v>1.7</v>
      </c>
      <c r="G43">
        <f t="shared" si="2"/>
        <v>3.3333333333333333E-2</v>
      </c>
      <c r="I43">
        <f t="shared" si="1"/>
        <v>77010000010</v>
      </c>
    </row>
    <row r="44" spans="1:9" hidden="1" x14ac:dyDescent="0.35">
      <c r="A44" s="22">
        <v>77010000016</v>
      </c>
      <c r="B44" s="22">
        <v>1</v>
      </c>
      <c r="C44" s="23" t="s">
        <v>0</v>
      </c>
      <c r="D44" s="22">
        <v>0.85</v>
      </c>
      <c r="E44" s="39">
        <v>2</v>
      </c>
      <c r="F44">
        <f t="shared" si="0"/>
        <v>1.7</v>
      </c>
      <c r="G44">
        <f t="shared" si="2"/>
        <v>3.3333333333333333E-2</v>
      </c>
      <c r="I44">
        <f t="shared" si="1"/>
        <v>77010000016</v>
      </c>
    </row>
    <row r="45" spans="1:9" hidden="1" x14ac:dyDescent="0.35">
      <c r="A45" s="22">
        <v>77010000081</v>
      </c>
      <c r="B45" s="22">
        <v>1</v>
      </c>
      <c r="C45" s="23" t="s">
        <v>0</v>
      </c>
      <c r="D45" s="22">
        <v>0.85</v>
      </c>
      <c r="E45" s="39">
        <v>2</v>
      </c>
      <c r="F45">
        <f t="shared" si="0"/>
        <v>1.7</v>
      </c>
      <c r="G45">
        <f t="shared" si="2"/>
        <v>3.3333333333333333E-2</v>
      </c>
      <c r="I45">
        <f t="shared" si="1"/>
        <v>77010000081</v>
      </c>
    </row>
    <row r="46" spans="1:9" hidden="1" x14ac:dyDescent="0.35">
      <c r="A46" s="22">
        <v>77010000067</v>
      </c>
      <c r="B46" s="22">
        <v>1</v>
      </c>
      <c r="C46" s="23" t="s">
        <v>0</v>
      </c>
      <c r="D46" s="22">
        <v>1.28</v>
      </c>
      <c r="E46" s="39">
        <v>3</v>
      </c>
      <c r="F46">
        <f t="shared" si="0"/>
        <v>3.84</v>
      </c>
      <c r="G46">
        <f t="shared" si="2"/>
        <v>0.05</v>
      </c>
      <c r="I46">
        <f t="shared" si="1"/>
        <v>77010000067</v>
      </c>
    </row>
    <row r="47" spans="1:9" hidden="1" x14ac:dyDescent="0.35">
      <c r="A47" s="22">
        <v>77010000075</v>
      </c>
      <c r="B47" s="22">
        <v>1</v>
      </c>
      <c r="C47" s="23" t="s">
        <v>0</v>
      </c>
      <c r="D47" s="22">
        <v>1.28</v>
      </c>
      <c r="E47" s="39">
        <v>3</v>
      </c>
      <c r="F47">
        <f t="shared" si="0"/>
        <v>3.84</v>
      </c>
      <c r="G47">
        <f t="shared" si="2"/>
        <v>0.05</v>
      </c>
      <c r="I47">
        <f t="shared" si="1"/>
        <v>77010000075</v>
      </c>
    </row>
    <row r="48" spans="1:9" hidden="1" x14ac:dyDescent="0.35">
      <c r="A48" s="22">
        <v>77010000088</v>
      </c>
      <c r="B48" s="22">
        <v>1</v>
      </c>
      <c r="C48" s="23" t="s">
        <v>0</v>
      </c>
      <c r="D48" s="22">
        <v>1.28</v>
      </c>
      <c r="E48" s="39">
        <v>3</v>
      </c>
      <c r="F48">
        <f t="shared" si="0"/>
        <v>3.84</v>
      </c>
      <c r="G48">
        <f t="shared" si="2"/>
        <v>0.05</v>
      </c>
      <c r="I48">
        <f t="shared" si="1"/>
        <v>77010000088</v>
      </c>
    </row>
    <row r="49" spans="1:9" hidden="1" x14ac:dyDescent="0.35">
      <c r="A49" s="22">
        <v>77010000002</v>
      </c>
      <c r="B49" s="22">
        <v>1</v>
      </c>
      <c r="C49" s="23" t="s">
        <v>0</v>
      </c>
      <c r="D49" s="22">
        <v>1.28</v>
      </c>
      <c r="E49" s="39">
        <v>3</v>
      </c>
      <c r="F49">
        <f t="shared" si="0"/>
        <v>3.84</v>
      </c>
      <c r="G49">
        <f t="shared" si="2"/>
        <v>0.05</v>
      </c>
      <c r="I49">
        <f t="shared" si="1"/>
        <v>77010000002</v>
      </c>
    </row>
    <row r="50" spans="1:9" hidden="1" x14ac:dyDescent="0.35">
      <c r="A50" s="22">
        <v>77010000049</v>
      </c>
      <c r="B50" s="22">
        <v>1</v>
      </c>
      <c r="C50" s="23" t="s">
        <v>0</v>
      </c>
      <c r="D50" s="22">
        <v>1.28</v>
      </c>
      <c r="E50" s="39">
        <v>3</v>
      </c>
      <c r="F50">
        <f t="shared" si="0"/>
        <v>3.84</v>
      </c>
      <c r="G50">
        <f t="shared" si="2"/>
        <v>0.05</v>
      </c>
      <c r="I50">
        <f t="shared" si="1"/>
        <v>77010000049</v>
      </c>
    </row>
    <row r="51" spans="1:9" hidden="1" x14ac:dyDescent="0.35">
      <c r="A51" s="22">
        <v>77010000079</v>
      </c>
      <c r="B51" s="22">
        <v>1</v>
      </c>
      <c r="C51" s="23" t="s">
        <v>0</v>
      </c>
      <c r="D51" s="22">
        <v>1.28</v>
      </c>
      <c r="E51" s="39">
        <v>3</v>
      </c>
      <c r="F51">
        <f t="shared" si="0"/>
        <v>3.84</v>
      </c>
      <c r="G51">
        <f t="shared" si="2"/>
        <v>0.05</v>
      </c>
      <c r="I51">
        <f t="shared" si="1"/>
        <v>77010000079</v>
      </c>
    </row>
    <row r="52" spans="1:9" hidden="1" x14ac:dyDescent="0.35">
      <c r="A52" s="22">
        <v>77010000002</v>
      </c>
      <c r="B52" s="22">
        <v>1</v>
      </c>
      <c r="C52" s="23" t="s">
        <v>0</v>
      </c>
      <c r="D52" s="22">
        <v>1.7</v>
      </c>
      <c r="E52" s="39">
        <v>4</v>
      </c>
      <c r="F52">
        <f t="shared" si="0"/>
        <v>6.8</v>
      </c>
      <c r="G52">
        <f t="shared" si="2"/>
        <v>6.6666666666666666E-2</v>
      </c>
      <c r="I52">
        <f t="shared" si="1"/>
        <v>77010000002</v>
      </c>
    </row>
    <row r="53" spans="1:9" hidden="1" x14ac:dyDescent="0.35">
      <c r="A53" s="22">
        <v>77010000048</v>
      </c>
      <c r="B53" s="22">
        <v>1</v>
      </c>
      <c r="C53" s="23" t="s">
        <v>0</v>
      </c>
      <c r="D53" s="22">
        <v>1.7</v>
      </c>
      <c r="E53" s="39">
        <v>4</v>
      </c>
      <c r="F53">
        <f t="shared" si="0"/>
        <v>6.8</v>
      </c>
      <c r="G53">
        <f t="shared" si="2"/>
        <v>6.6666666666666666E-2</v>
      </c>
      <c r="I53">
        <f t="shared" si="1"/>
        <v>77010000048</v>
      </c>
    </row>
    <row r="54" spans="1:9" hidden="1" x14ac:dyDescent="0.35">
      <c r="A54" s="22">
        <v>77010000064</v>
      </c>
      <c r="B54" s="22">
        <v>1</v>
      </c>
      <c r="C54" s="23" t="s">
        <v>0</v>
      </c>
      <c r="D54" s="22">
        <v>1.7</v>
      </c>
      <c r="E54" s="39">
        <v>4</v>
      </c>
      <c r="F54">
        <f t="shared" si="0"/>
        <v>6.8</v>
      </c>
      <c r="G54">
        <f t="shared" si="2"/>
        <v>6.6666666666666666E-2</v>
      </c>
      <c r="I54">
        <f t="shared" si="1"/>
        <v>77010000064</v>
      </c>
    </row>
    <row r="55" spans="1:9" hidden="1" x14ac:dyDescent="0.35">
      <c r="A55" s="22">
        <v>77010000061</v>
      </c>
      <c r="B55" s="22">
        <v>1</v>
      </c>
      <c r="C55" s="23" t="s">
        <v>0</v>
      </c>
      <c r="D55" s="22">
        <v>1.7</v>
      </c>
      <c r="E55" s="39">
        <v>4</v>
      </c>
      <c r="F55">
        <f t="shared" si="0"/>
        <v>6.8</v>
      </c>
      <c r="G55">
        <f t="shared" si="2"/>
        <v>6.6666666666666666E-2</v>
      </c>
      <c r="I55">
        <f t="shared" si="1"/>
        <v>77010000061</v>
      </c>
    </row>
    <row r="56" spans="1:9" hidden="1" x14ac:dyDescent="0.35">
      <c r="A56" s="22">
        <v>77010000054</v>
      </c>
      <c r="B56" s="22">
        <v>1</v>
      </c>
      <c r="C56" s="23" t="s">
        <v>1</v>
      </c>
      <c r="D56" s="22">
        <v>7.43</v>
      </c>
      <c r="E56" s="39">
        <v>4</v>
      </c>
      <c r="F56">
        <f t="shared" si="0"/>
        <v>29.72</v>
      </c>
      <c r="G56">
        <f t="shared" si="2"/>
        <v>6.6666666666666666E-2</v>
      </c>
      <c r="I56">
        <f t="shared" si="1"/>
        <v>77010000054</v>
      </c>
    </row>
    <row r="57" spans="1:9" hidden="1" x14ac:dyDescent="0.35">
      <c r="A57" s="22">
        <v>77010000057</v>
      </c>
      <c r="B57" s="22">
        <v>1</v>
      </c>
      <c r="C57" s="23" t="s">
        <v>0</v>
      </c>
      <c r="D57" s="22">
        <v>1.7</v>
      </c>
      <c r="E57" s="39">
        <v>4</v>
      </c>
      <c r="F57">
        <f t="shared" si="0"/>
        <v>6.8</v>
      </c>
      <c r="G57">
        <f t="shared" si="2"/>
        <v>6.6666666666666666E-2</v>
      </c>
      <c r="I57">
        <f t="shared" si="1"/>
        <v>77010000057</v>
      </c>
    </row>
    <row r="58" spans="1:9" hidden="1" x14ac:dyDescent="0.35">
      <c r="A58" s="22">
        <v>77010000084</v>
      </c>
      <c r="B58" s="22">
        <v>1</v>
      </c>
      <c r="C58" s="23" t="s">
        <v>1</v>
      </c>
      <c r="D58" s="22">
        <v>7.43</v>
      </c>
      <c r="E58" s="39">
        <v>4</v>
      </c>
      <c r="F58">
        <f t="shared" si="0"/>
        <v>29.72</v>
      </c>
      <c r="G58">
        <f t="shared" si="2"/>
        <v>6.6666666666666666E-2</v>
      </c>
      <c r="I58">
        <f t="shared" si="1"/>
        <v>77010000084</v>
      </c>
    </row>
    <row r="59" spans="1:9" hidden="1" x14ac:dyDescent="0.35">
      <c r="A59" s="22">
        <v>77010000004</v>
      </c>
      <c r="B59" s="22">
        <v>1</v>
      </c>
      <c r="C59" s="23" t="s">
        <v>0</v>
      </c>
      <c r="D59" s="22">
        <v>1.7</v>
      </c>
      <c r="E59" s="39">
        <v>4</v>
      </c>
      <c r="F59">
        <f t="shared" si="0"/>
        <v>6.8</v>
      </c>
      <c r="G59">
        <f t="shared" si="2"/>
        <v>6.6666666666666666E-2</v>
      </c>
      <c r="I59">
        <f t="shared" si="1"/>
        <v>77010000004</v>
      </c>
    </row>
    <row r="60" spans="1:9" hidden="1" x14ac:dyDescent="0.35">
      <c r="A60" s="22">
        <v>77010000005</v>
      </c>
      <c r="B60" s="22">
        <v>1</v>
      </c>
      <c r="C60" s="23" t="s">
        <v>0</v>
      </c>
      <c r="D60" s="22">
        <v>1.7</v>
      </c>
      <c r="E60" s="39">
        <v>4</v>
      </c>
      <c r="F60">
        <f t="shared" si="0"/>
        <v>6.8</v>
      </c>
      <c r="G60">
        <f t="shared" si="2"/>
        <v>6.6666666666666666E-2</v>
      </c>
      <c r="I60">
        <f t="shared" si="1"/>
        <v>77010000005</v>
      </c>
    </row>
    <row r="61" spans="1:9" hidden="1" x14ac:dyDescent="0.35">
      <c r="A61" s="22">
        <v>77010000007</v>
      </c>
      <c r="B61" s="22">
        <v>1</v>
      </c>
      <c r="C61" s="23" t="s">
        <v>0</v>
      </c>
      <c r="D61" s="22">
        <v>1.7</v>
      </c>
      <c r="E61" s="39">
        <v>4</v>
      </c>
      <c r="F61">
        <f t="shared" si="0"/>
        <v>6.8</v>
      </c>
      <c r="G61">
        <f t="shared" si="2"/>
        <v>6.6666666666666666E-2</v>
      </c>
      <c r="I61">
        <f t="shared" si="1"/>
        <v>77010000007</v>
      </c>
    </row>
    <row r="62" spans="1:9" hidden="1" x14ac:dyDescent="0.35">
      <c r="A62" s="22">
        <v>77010000052</v>
      </c>
      <c r="B62" s="22">
        <v>1</v>
      </c>
      <c r="C62" s="23" t="s">
        <v>0</v>
      </c>
      <c r="D62" s="22">
        <v>1.7</v>
      </c>
      <c r="E62" s="39">
        <v>4</v>
      </c>
      <c r="F62">
        <f t="shared" si="0"/>
        <v>6.8</v>
      </c>
      <c r="G62">
        <f t="shared" si="2"/>
        <v>6.6666666666666666E-2</v>
      </c>
      <c r="I62">
        <f t="shared" si="1"/>
        <v>77010000052</v>
      </c>
    </row>
    <row r="63" spans="1:9" hidden="1" x14ac:dyDescent="0.35">
      <c r="A63" s="22">
        <v>77010000062</v>
      </c>
      <c r="B63" s="22">
        <v>1</v>
      </c>
      <c r="C63" s="23" t="s">
        <v>1</v>
      </c>
      <c r="D63" s="22">
        <v>7.43</v>
      </c>
      <c r="E63" s="39">
        <v>5</v>
      </c>
      <c r="F63">
        <f t="shared" si="0"/>
        <v>37.15</v>
      </c>
      <c r="G63">
        <f t="shared" si="2"/>
        <v>8.3333333333333329E-2</v>
      </c>
      <c r="I63">
        <f t="shared" si="1"/>
        <v>77010000062</v>
      </c>
    </row>
    <row r="64" spans="1:9" hidden="1" x14ac:dyDescent="0.35">
      <c r="A64" s="22">
        <v>77010000048</v>
      </c>
      <c r="B64" s="22">
        <v>1</v>
      </c>
      <c r="C64" s="23" t="s">
        <v>0</v>
      </c>
      <c r="D64" s="22">
        <v>2.13</v>
      </c>
      <c r="E64" s="39">
        <v>5</v>
      </c>
      <c r="F64">
        <f t="shared" si="0"/>
        <v>10.649999999999999</v>
      </c>
      <c r="G64">
        <f t="shared" si="2"/>
        <v>8.3333333333333329E-2</v>
      </c>
      <c r="I64">
        <f t="shared" si="1"/>
        <v>77010000048</v>
      </c>
    </row>
    <row r="65" spans="1:9" hidden="1" x14ac:dyDescent="0.35">
      <c r="A65" s="22">
        <v>77010000067</v>
      </c>
      <c r="B65" s="22">
        <v>1</v>
      </c>
      <c r="C65" s="23" t="s">
        <v>0</v>
      </c>
      <c r="D65" s="22">
        <v>2.13</v>
      </c>
      <c r="E65" s="39">
        <v>5</v>
      </c>
      <c r="F65">
        <f t="shared" si="0"/>
        <v>10.649999999999999</v>
      </c>
      <c r="G65">
        <f t="shared" si="2"/>
        <v>8.3333333333333329E-2</v>
      </c>
      <c r="I65">
        <f t="shared" si="1"/>
        <v>77010000067</v>
      </c>
    </row>
    <row r="66" spans="1:9" hidden="1" x14ac:dyDescent="0.35">
      <c r="A66" s="22">
        <v>77010000089</v>
      </c>
      <c r="B66" s="22">
        <v>1</v>
      </c>
      <c r="C66" s="23" t="s">
        <v>0</v>
      </c>
      <c r="D66" s="22">
        <v>2.13</v>
      </c>
      <c r="E66" s="39">
        <v>5</v>
      </c>
      <c r="F66">
        <f t="shared" ref="F66:F129" si="3">D66*E66</f>
        <v>10.649999999999999</v>
      </c>
      <c r="G66">
        <f t="shared" si="2"/>
        <v>8.3333333333333329E-2</v>
      </c>
      <c r="I66">
        <f t="shared" ref="I66:I129" si="4">_xlfn.UNIQUE(A66,$A:$A,A66)</f>
        <v>77010000089</v>
      </c>
    </row>
    <row r="67" spans="1:9" hidden="1" x14ac:dyDescent="0.35">
      <c r="A67" s="22">
        <v>77010000093</v>
      </c>
      <c r="B67" s="22">
        <v>1</v>
      </c>
      <c r="C67" s="23" t="s">
        <v>0</v>
      </c>
      <c r="D67" s="22">
        <v>2.13</v>
      </c>
      <c r="E67" s="39">
        <v>5</v>
      </c>
      <c r="F67">
        <f t="shared" si="3"/>
        <v>10.649999999999999</v>
      </c>
      <c r="G67">
        <f t="shared" ref="G67:G130" si="5">E67/60</f>
        <v>8.3333333333333329E-2</v>
      </c>
      <c r="I67">
        <f t="shared" si="4"/>
        <v>77010000093</v>
      </c>
    </row>
    <row r="68" spans="1:9" hidden="1" x14ac:dyDescent="0.35">
      <c r="A68" s="22">
        <v>77010000018</v>
      </c>
      <c r="B68" s="22">
        <v>1</v>
      </c>
      <c r="C68" s="23" t="s">
        <v>0</v>
      </c>
      <c r="D68" s="22">
        <v>2.13</v>
      </c>
      <c r="E68" s="39">
        <v>5</v>
      </c>
      <c r="F68">
        <f t="shared" si="3"/>
        <v>10.649999999999999</v>
      </c>
      <c r="G68">
        <f t="shared" si="5"/>
        <v>8.3333333333333329E-2</v>
      </c>
      <c r="I68">
        <f t="shared" si="4"/>
        <v>77010000018</v>
      </c>
    </row>
    <row r="69" spans="1:9" hidden="1" x14ac:dyDescent="0.35">
      <c r="A69" s="22">
        <v>77010000048</v>
      </c>
      <c r="B69" s="22">
        <v>1</v>
      </c>
      <c r="C69" s="23" t="s">
        <v>0</v>
      </c>
      <c r="D69" s="22">
        <v>2.13</v>
      </c>
      <c r="E69" s="39">
        <v>5</v>
      </c>
      <c r="F69">
        <f t="shared" si="3"/>
        <v>10.649999999999999</v>
      </c>
      <c r="G69">
        <f t="shared" si="5"/>
        <v>8.3333333333333329E-2</v>
      </c>
      <c r="I69">
        <f t="shared" si="4"/>
        <v>77010000048</v>
      </c>
    </row>
    <row r="70" spans="1:9" hidden="1" x14ac:dyDescent="0.35">
      <c r="A70" s="22">
        <v>77010000073</v>
      </c>
      <c r="B70" s="22">
        <v>1</v>
      </c>
      <c r="C70" s="23" t="s">
        <v>2</v>
      </c>
      <c r="D70" s="22">
        <v>7.43</v>
      </c>
      <c r="E70" s="39">
        <v>5</v>
      </c>
      <c r="F70">
        <f t="shared" si="3"/>
        <v>37.15</v>
      </c>
      <c r="G70">
        <f t="shared" si="5"/>
        <v>8.3333333333333329E-2</v>
      </c>
      <c r="I70">
        <f t="shared" si="4"/>
        <v>77010000073</v>
      </c>
    </row>
    <row r="71" spans="1:9" hidden="1" x14ac:dyDescent="0.35">
      <c r="A71" s="22">
        <v>77010000056</v>
      </c>
      <c r="B71" s="22">
        <v>1</v>
      </c>
      <c r="C71" s="23" t="s">
        <v>1</v>
      </c>
      <c r="D71" s="22">
        <v>7.43</v>
      </c>
      <c r="E71" s="39">
        <v>6</v>
      </c>
      <c r="F71">
        <f t="shared" si="3"/>
        <v>44.58</v>
      </c>
      <c r="G71">
        <f t="shared" si="5"/>
        <v>0.1</v>
      </c>
      <c r="I71">
        <f t="shared" si="4"/>
        <v>77010000056</v>
      </c>
    </row>
    <row r="72" spans="1:9" hidden="1" x14ac:dyDescent="0.35">
      <c r="A72" s="22">
        <v>77010000057</v>
      </c>
      <c r="B72" s="22">
        <v>1</v>
      </c>
      <c r="C72" s="23" t="s">
        <v>0</v>
      </c>
      <c r="D72" s="22">
        <v>2.56</v>
      </c>
      <c r="E72" s="39">
        <v>6</v>
      </c>
      <c r="F72">
        <f t="shared" si="3"/>
        <v>15.36</v>
      </c>
      <c r="G72">
        <f t="shared" si="5"/>
        <v>0.1</v>
      </c>
      <c r="I72">
        <f t="shared" si="4"/>
        <v>77010000057</v>
      </c>
    </row>
    <row r="73" spans="1:9" hidden="1" x14ac:dyDescent="0.35">
      <c r="A73" s="22">
        <v>77010000046</v>
      </c>
      <c r="B73" s="22">
        <v>1</v>
      </c>
      <c r="C73" s="23" t="s">
        <v>0</v>
      </c>
      <c r="D73" s="22">
        <v>2.56</v>
      </c>
      <c r="E73" s="39">
        <v>6</v>
      </c>
      <c r="F73">
        <f t="shared" si="3"/>
        <v>15.36</v>
      </c>
      <c r="G73">
        <f t="shared" si="5"/>
        <v>0.1</v>
      </c>
      <c r="I73">
        <f t="shared" si="4"/>
        <v>77010000046</v>
      </c>
    </row>
    <row r="74" spans="1:9" hidden="1" x14ac:dyDescent="0.35">
      <c r="A74" s="22">
        <v>77010000053</v>
      </c>
      <c r="B74" s="22">
        <v>1</v>
      </c>
      <c r="C74" s="23" t="s">
        <v>3</v>
      </c>
      <c r="D74" s="22">
        <v>24.5</v>
      </c>
      <c r="E74" s="39">
        <v>6</v>
      </c>
      <c r="F74">
        <f t="shared" si="3"/>
        <v>147</v>
      </c>
      <c r="G74">
        <f t="shared" si="5"/>
        <v>0.1</v>
      </c>
      <c r="I74">
        <f t="shared" si="4"/>
        <v>77010000053</v>
      </c>
    </row>
    <row r="75" spans="1:9" hidden="1" x14ac:dyDescent="0.35">
      <c r="A75" s="22">
        <v>77010000093</v>
      </c>
      <c r="B75" s="22">
        <v>1</v>
      </c>
      <c r="C75" s="23" t="s">
        <v>0</v>
      </c>
      <c r="D75" s="22">
        <v>2.56</v>
      </c>
      <c r="E75" s="39">
        <v>6</v>
      </c>
      <c r="F75">
        <f t="shared" si="3"/>
        <v>15.36</v>
      </c>
      <c r="G75">
        <f t="shared" si="5"/>
        <v>0.1</v>
      </c>
      <c r="I75">
        <f t="shared" si="4"/>
        <v>77010000093</v>
      </c>
    </row>
    <row r="76" spans="1:9" hidden="1" x14ac:dyDescent="0.35">
      <c r="A76" s="22">
        <v>77010000085</v>
      </c>
      <c r="B76" s="22">
        <v>1</v>
      </c>
      <c r="C76" s="23" t="s">
        <v>0</v>
      </c>
      <c r="D76" s="22">
        <v>0.83</v>
      </c>
      <c r="E76" s="39">
        <v>6</v>
      </c>
      <c r="F76">
        <f t="shared" si="3"/>
        <v>4.9799999999999995</v>
      </c>
      <c r="G76">
        <f t="shared" si="5"/>
        <v>0.1</v>
      </c>
      <c r="I76">
        <f t="shared" si="4"/>
        <v>77010000085</v>
      </c>
    </row>
    <row r="77" spans="1:9" hidden="1" x14ac:dyDescent="0.35">
      <c r="A77" s="22">
        <v>77010000033</v>
      </c>
      <c r="B77" s="22">
        <v>1</v>
      </c>
      <c r="C77" s="23" t="s">
        <v>0</v>
      </c>
      <c r="D77" s="22">
        <v>2.56</v>
      </c>
      <c r="E77" s="39">
        <v>6</v>
      </c>
      <c r="F77">
        <f t="shared" si="3"/>
        <v>15.36</v>
      </c>
      <c r="G77">
        <f t="shared" si="5"/>
        <v>0.1</v>
      </c>
      <c r="I77">
        <f t="shared" si="4"/>
        <v>77010000033</v>
      </c>
    </row>
    <row r="78" spans="1:9" hidden="1" x14ac:dyDescent="0.35">
      <c r="A78" s="22">
        <v>77010000049</v>
      </c>
      <c r="B78" s="22">
        <v>1</v>
      </c>
      <c r="C78" s="23" t="s">
        <v>0</v>
      </c>
      <c r="D78" s="22">
        <v>2.98</v>
      </c>
      <c r="E78" s="39">
        <v>7</v>
      </c>
      <c r="F78">
        <f t="shared" si="3"/>
        <v>20.86</v>
      </c>
      <c r="G78">
        <f t="shared" si="5"/>
        <v>0.11666666666666667</v>
      </c>
      <c r="I78">
        <f t="shared" si="4"/>
        <v>77010000049</v>
      </c>
    </row>
    <row r="79" spans="1:9" hidden="1" x14ac:dyDescent="0.35">
      <c r="A79" s="22">
        <v>77010000073</v>
      </c>
      <c r="B79" s="22">
        <v>1</v>
      </c>
      <c r="C79" s="23" t="s">
        <v>0</v>
      </c>
      <c r="D79" s="22">
        <v>2.98</v>
      </c>
      <c r="E79" s="39">
        <v>7</v>
      </c>
      <c r="F79">
        <f t="shared" si="3"/>
        <v>20.86</v>
      </c>
      <c r="G79">
        <f t="shared" si="5"/>
        <v>0.11666666666666667</v>
      </c>
      <c r="I79">
        <f t="shared" si="4"/>
        <v>77010000073</v>
      </c>
    </row>
    <row r="80" spans="1:9" hidden="1" x14ac:dyDescent="0.35">
      <c r="A80" s="22">
        <v>77010000014</v>
      </c>
      <c r="B80" s="22">
        <v>1</v>
      </c>
      <c r="C80" s="23" t="s">
        <v>0</v>
      </c>
      <c r="D80" s="22">
        <v>2.98</v>
      </c>
      <c r="E80" s="39">
        <v>7</v>
      </c>
      <c r="F80">
        <f t="shared" si="3"/>
        <v>20.86</v>
      </c>
      <c r="G80">
        <f t="shared" si="5"/>
        <v>0.11666666666666667</v>
      </c>
      <c r="I80">
        <f t="shared" si="4"/>
        <v>77010000014</v>
      </c>
    </row>
    <row r="81" spans="1:9" hidden="1" x14ac:dyDescent="0.35">
      <c r="A81" s="22">
        <v>77010000006</v>
      </c>
      <c r="B81" s="22">
        <v>1</v>
      </c>
      <c r="C81" s="23" t="s">
        <v>0</v>
      </c>
      <c r="D81" s="22">
        <v>0</v>
      </c>
      <c r="E81" s="39">
        <v>7</v>
      </c>
      <c r="F81">
        <f t="shared" si="3"/>
        <v>0</v>
      </c>
      <c r="G81">
        <f t="shared" si="5"/>
        <v>0.11666666666666667</v>
      </c>
      <c r="I81">
        <f t="shared" si="4"/>
        <v>77010000006</v>
      </c>
    </row>
    <row r="82" spans="1:9" hidden="1" x14ac:dyDescent="0.35">
      <c r="A82" s="22">
        <v>77010000031</v>
      </c>
      <c r="B82" s="22">
        <v>1</v>
      </c>
      <c r="C82" s="23" t="s">
        <v>0</v>
      </c>
      <c r="D82" s="22">
        <v>2.98</v>
      </c>
      <c r="E82" s="39">
        <v>7</v>
      </c>
      <c r="F82">
        <f t="shared" si="3"/>
        <v>20.86</v>
      </c>
      <c r="G82">
        <f t="shared" si="5"/>
        <v>0.11666666666666667</v>
      </c>
      <c r="I82">
        <f t="shared" si="4"/>
        <v>77010000031</v>
      </c>
    </row>
    <row r="83" spans="1:9" hidden="1" x14ac:dyDescent="0.35">
      <c r="A83" s="22">
        <v>77010000042</v>
      </c>
      <c r="B83" s="22">
        <v>1</v>
      </c>
      <c r="C83" s="23" t="s">
        <v>0</v>
      </c>
      <c r="D83" s="22">
        <v>2.98</v>
      </c>
      <c r="E83" s="39">
        <v>7</v>
      </c>
      <c r="F83">
        <f t="shared" si="3"/>
        <v>20.86</v>
      </c>
      <c r="G83">
        <f t="shared" si="5"/>
        <v>0.11666666666666667</v>
      </c>
      <c r="I83">
        <f t="shared" si="4"/>
        <v>77010000042</v>
      </c>
    </row>
    <row r="84" spans="1:9" hidden="1" x14ac:dyDescent="0.35">
      <c r="A84" s="22">
        <v>77010000079</v>
      </c>
      <c r="B84" s="22">
        <v>1</v>
      </c>
      <c r="C84" s="23" t="s">
        <v>0</v>
      </c>
      <c r="D84" s="22">
        <v>2.98</v>
      </c>
      <c r="E84" s="39">
        <v>7</v>
      </c>
      <c r="F84">
        <f t="shared" si="3"/>
        <v>20.86</v>
      </c>
      <c r="G84">
        <f t="shared" si="5"/>
        <v>0.11666666666666667</v>
      </c>
      <c r="I84">
        <f t="shared" si="4"/>
        <v>77010000079</v>
      </c>
    </row>
    <row r="85" spans="1:9" hidden="1" x14ac:dyDescent="0.35">
      <c r="A85" s="22">
        <v>77010000007</v>
      </c>
      <c r="B85" s="22">
        <v>1</v>
      </c>
      <c r="C85" s="23" t="s">
        <v>0</v>
      </c>
      <c r="D85" s="22">
        <v>3.41</v>
      </c>
      <c r="E85" s="39">
        <v>8</v>
      </c>
      <c r="F85">
        <f t="shared" si="3"/>
        <v>27.28</v>
      </c>
      <c r="G85">
        <f t="shared" si="5"/>
        <v>0.13333333333333333</v>
      </c>
      <c r="I85">
        <f t="shared" si="4"/>
        <v>77010000007</v>
      </c>
    </row>
    <row r="86" spans="1:9" hidden="1" x14ac:dyDescent="0.35">
      <c r="A86" s="22">
        <v>77010000050</v>
      </c>
      <c r="B86" s="22">
        <v>1</v>
      </c>
      <c r="C86" s="23" t="s">
        <v>0</v>
      </c>
      <c r="D86" s="22">
        <v>3.41</v>
      </c>
      <c r="E86" s="39">
        <v>8</v>
      </c>
      <c r="F86">
        <f t="shared" si="3"/>
        <v>27.28</v>
      </c>
      <c r="G86">
        <f t="shared" si="5"/>
        <v>0.13333333333333333</v>
      </c>
      <c r="I86">
        <f t="shared" si="4"/>
        <v>77010000050</v>
      </c>
    </row>
    <row r="87" spans="1:9" hidden="1" x14ac:dyDescent="0.35">
      <c r="A87" s="22">
        <v>77010000054</v>
      </c>
      <c r="B87" s="22">
        <v>1</v>
      </c>
      <c r="C87" s="23" t="s">
        <v>1</v>
      </c>
      <c r="D87" s="22">
        <v>7.43</v>
      </c>
      <c r="E87" s="39">
        <v>8</v>
      </c>
      <c r="F87">
        <f t="shared" si="3"/>
        <v>59.44</v>
      </c>
      <c r="G87">
        <f t="shared" si="5"/>
        <v>0.13333333333333333</v>
      </c>
      <c r="I87">
        <f t="shared" si="4"/>
        <v>77010000054</v>
      </c>
    </row>
    <row r="88" spans="1:9" x14ac:dyDescent="0.35">
      <c r="A88" s="22">
        <v>77010000055</v>
      </c>
      <c r="B88" s="22">
        <v>1</v>
      </c>
      <c r="C88" s="23" t="s">
        <v>0</v>
      </c>
      <c r="D88" s="22">
        <v>3.41</v>
      </c>
      <c r="E88" s="39">
        <v>8</v>
      </c>
      <c r="F88">
        <f t="shared" si="3"/>
        <v>27.28</v>
      </c>
      <c r="G88">
        <f t="shared" si="5"/>
        <v>0.13333333333333333</v>
      </c>
      <c r="I88">
        <f t="shared" si="4"/>
        <v>77010000055</v>
      </c>
    </row>
    <row r="89" spans="1:9" hidden="1" x14ac:dyDescent="0.35">
      <c r="A89" s="22">
        <v>77010000057</v>
      </c>
      <c r="B89" s="22">
        <v>1</v>
      </c>
      <c r="C89" s="23" t="s">
        <v>0</v>
      </c>
      <c r="D89" s="22">
        <v>3.41</v>
      </c>
      <c r="E89" s="39">
        <v>8</v>
      </c>
      <c r="F89">
        <f t="shared" si="3"/>
        <v>27.28</v>
      </c>
      <c r="G89">
        <f t="shared" si="5"/>
        <v>0.13333333333333333</v>
      </c>
      <c r="I89">
        <f t="shared" si="4"/>
        <v>77010000057</v>
      </c>
    </row>
    <row r="90" spans="1:9" hidden="1" x14ac:dyDescent="0.35">
      <c r="A90" s="22">
        <v>77010000060</v>
      </c>
      <c r="B90" s="22">
        <v>1</v>
      </c>
      <c r="C90" s="23" t="s">
        <v>0</v>
      </c>
      <c r="D90" s="22">
        <v>3.41</v>
      </c>
      <c r="E90" s="39">
        <v>8</v>
      </c>
      <c r="F90">
        <f t="shared" si="3"/>
        <v>27.28</v>
      </c>
      <c r="G90">
        <f t="shared" si="5"/>
        <v>0.13333333333333333</v>
      </c>
      <c r="I90">
        <f t="shared" si="4"/>
        <v>77010000060</v>
      </c>
    </row>
    <row r="91" spans="1:9" hidden="1" x14ac:dyDescent="0.35">
      <c r="A91" s="22">
        <v>77010000058</v>
      </c>
      <c r="B91" s="22">
        <v>1</v>
      </c>
      <c r="C91" s="23" t="s">
        <v>0</v>
      </c>
      <c r="D91" s="22">
        <v>3.41</v>
      </c>
      <c r="E91" s="39">
        <v>8</v>
      </c>
      <c r="F91">
        <f t="shared" si="3"/>
        <v>27.28</v>
      </c>
      <c r="G91">
        <f t="shared" si="5"/>
        <v>0.13333333333333333</v>
      </c>
      <c r="I91">
        <f t="shared" si="4"/>
        <v>77010000058</v>
      </c>
    </row>
    <row r="92" spans="1:9" hidden="1" x14ac:dyDescent="0.35">
      <c r="A92" s="22">
        <v>77010000090</v>
      </c>
      <c r="B92" s="22">
        <v>1</v>
      </c>
      <c r="C92" s="23" t="s">
        <v>0</v>
      </c>
      <c r="D92" s="22">
        <v>3.41</v>
      </c>
      <c r="E92" s="39">
        <v>8</v>
      </c>
      <c r="F92">
        <f t="shared" si="3"/>
        <v>27.28</v>
      </c>
      <c r="G92">
        <f t="shared" si="5"/>
        <v>0.13333333333333333</v>
      </c>
      <c r="I92">
        <f t="shared" si="4"/>
        <v>77010000090</v>
      </c>
    </row>
    <row r="93" spans="1:9" hidden="1" x14ac:dyDescent="0.35">
      <c r="A93" s="22">
        <v>77010000076</v>
      </c>
      <c r="B93" s="22">
        <v>1</v>
      </c>
      <c r="C93" s="23" t="s">
        <v>0</v>
      </c>
      <c r="D93" s="22">
        <v>3.41</v>
      </c>
      <c r="E93" s="39">
        <v>8</v>
      </c>
      <c r="F93">
        <f t="shared" si="3"/>
        <v>27.28</v>
      </c>
      <c r="G93">
        <f t="shared" si="5"/>
        <v>0.13333333333333333</v>
      </c>
      <c r="I93">
        <f t="shared" si="4"/>
        <v>77010000076</v>
      </c>
    </row>
    <row r="94" spans="1:9" hidden="1" x14ac:dyDescent="0.35">
      <c r="A94" s="22">
        <v>77010000035</v>
      </c>
      <c r="B94" s="22">
        <v>1</v>
      </c>
      <c r="C94" s="23" t="s">
        <v>0</v>
      </c>
      <c r="D94" s="22">
        <v>3.41</v>
      </c>
      <c r="E94" s="39">
        <v>8</v>
      </c>
      <c r="F94">
        <f t="shared" si="3"/>
        <v>27.28</v>
      </c>
      <c r="G94">
        <f t="shared" si="5"/>
        <v>0.13333333333333333</v>
      </c>
      <c r="I94">
        <f t="shared" si="4"/>
        <v>77010000035</v>
      </c>
    </row>
    <row r="95" spans="1:9" hidden="1" x14ac:dyDescent="0.35">
      <c r="A95" s="22">
        <v>77010000023</v>
      </c>
      <c r="B95" s="22">
        <v>1</v>
      </c>
      <c r="C95" s="23" t="s">
        <v>0</v>
      </c>
      <c r="D95" s="22">
        <v>3.41</v>
      </c>
      <c r="E95" s="39">
        <v>8</v>
      </c>
      <c r="F95">
        <f t="shared" si="3"/>
        <v>27.28</v>
      </c>
      <c r="G95">
        <f t="shared" si="5"/>
        <v>0.13333333333333333</v>
      </c>
      <c r="I95">
        <f t="shared" si="4"/>
        <v>77010000023</v>
      </c>
    </row>
    <row r="96" spans="1:9" hidden="1" x14ac:dyDescent="0.35">
      <c r="A96" s="22">
        <v>77010000039</v>
      </c>
      <c r="B96" s="22">
        <v>1</v>
      </c>
      <c r="C96" s="23" t="s">
        <v>0</v>
      </c>
      <c r="D96" s="22">
        <v>3.41</v>
      </c>
      <c r="E96" s="39">
        <v>8</v>
      </c>
      <c r="F96">
        <f t="shared" si="3"/>
        <v>27.28</v>
      </c>
      <c r="G96">
        <f t="shared" si="5"/>
        <v>0.13333333333333333</v>
      </c>
      <c r="I96">
        <f t="shared" si="4"/>
        <v>77010000039</v>
      </c>
    </row>
    <row r="97" spans="1:9" hidden="1" x14ac:dyDescent="0.35">
      <c r="A97" s="22">
        <v>77010000058</v>
      </c>
      <c r="B97" s="22">
        <v>1</v>
      </c>
      <c r="C97" s="23" t="s">
        <v>2</v>
      </c>
      <c r="D97" s="22">
        <v>7.43</v>
      </c>
      <c r="E97" s="39">
        <v>9</v>
      </c>
      <c r="F97">
        <f t="shared" si="3"/>
        <v>66.87</v>
      </c>
      <c r="G97">
        <f t="shared" si="5"/>
        <v>0.15</v>
      </c>
      <c r="I97">
        <f t="shared" si="4"/>
        <v>77010000058</v>
      </c>
    </row>
    <row r="98" spans="1:9" hidden="1" x14ac:dyDescent="0.35">
      <c r="A98" s="22">
        <v>77010000061</v>
      </c>
      <c r="B98" s="22">
        <v>1</v>
      </c>
      <c r="C98" s="23" t="s">
        <v>0</v>
      </c>
      <c r="D98" s="22">
        <v>3.84</v>
      </c>
      <c r="E98" s="39">
        <v>9</v>
      </c>
      <c r="F98">
        <f t="shared" si="3"/>
        <v>34.56</v>
      </c>
      <c r="G98">
        <f t="shared" si="5"/>
        <v>0.15</v>
      </c>
      <c r="I98">
        <f t="shared" si="4"/>
        <v>77010000061</v>
      </c>
    </row>
    <row r="99" spans="1:9" hidden="1" x14ac:dyDescent="0.35">
      <c r="A99" s="22">
        <v>77010000069</v>
      </c>
      <c r="B99" s="22">
        <v>1</v>
      </c>
      <c r="C99" s="23" t="s">
        <v>0</v>
      </c>
      <c r="D99" s="22">
        <v>3.84</v>
      </c>
      <c r="E99" s="39">
        <v>9</v>
      </c>
      <c r="F99">
        <f t="shared" si="3"/>
        <v>34.56</v>
      </c>
      <c r="G99">
        <f t="shared" si="5"/>
        <v>0.15</v>
      </c>
      <c r="I99">
        <f t="shared" si="4"/>
        <v>77010000069</v>
      </c>
    </row>
    <row r="100" spans="1:9" hidden="1" x14ac:dyDescent="0.35">
      <c r="A100" s="22">
        <v>77010000067</v>
      </c>
      <c r="B100" s="22">
        <v>1</v>
      </c>
      <c r="C100" s="23" t="s">
        <v>3</v>
      </c>
      <c r="D100" s="22">
        <v>24.5</v>
      </c>
      <c r="E100" s="39">
        <v>9</v>
      </c>
      <c r="F100">
        <f t="shared" si="3"/>
        <v>220.5</v>
      </c>
      <c r="G100">
        <f t="shared" si="5"/>
        <v>0.15</v>
      </c>
      <c r="I100">
        <f t="shared" si="4"/>
        <v>77010000067</v>
      </c>
    </row>
    <row r="101" spans="1:9" hidden="1" x14ac:dyDescent="0.35">
      <c r="A101" s="22">
        <v>77010000040</v>
      </c>
      <c r="B101" s="22">
        <v>1</v>
      </c>
      <c r="C101" s="23" t="s">
        <v>0</v>
      </c>
      <c r="D101" s="22">
        <v>3.84</v>
      </c>
      <c r="E101" s="39">
        <v>9</v>
      </c>
      <c r="F101">
        <f t="shared" si="3"/>
        <v>34.56</v>
      </c>
      <c r="G101">
        <f t="shared" si="5"/>
        <v>0.15</v>
      </c>
      <c r="I101">
        <f t="shared" si="4"/>
        <v>77010000040</v>
      </c>
    </row>
    <row r="102" spans="1:9" hidden="1" x14ac:dyDescent="0.35">
      <c r="A102" s="22">
        <v>77010000047</v>
      </c>
      <c r="B102" s="22">
        <v>1</v>
      </c>
      <c r="C102" s="23" t="s">
        <v>0</v>
      </c>
      <c r="D102" s="22">
        <v>3.84</v>
      </c>
      <c r="E102" s="39">
        <v>9</v>
      </c>
      <c r="F102">
        <f t="shared" si="3"/>
        <v>34.56</v>
      </c>
      <c r="G102">
        <f t="shared" si="5"/>
        <v>0.15</v>
      </c>
      <c r="I102">
        <f t="shared" si="4"/>
        <v>77010000047</v>
      </c>
    </row>
    <row r="103" spans="1:9" hidden="1" x14ac:dyDescent="0.35">
      <c r="A103" s="22">
        <v>77010000050</v>
      </c>
      <c r="B103" s="22">
        <v>1</v>
      </c>
      <c r="C103" s="23" t="s">
        <v>0</v>
      </c>
      <c r="D103" s="22">
        <v>3.84</v>
      </c>
      <c r="E103" s="39">
        <v>9</v>
      </c>
      <c r="F103">
        <f t="shared" si="3"/>
        <v>34.56</v>
      </c>
      <c r="G103">
        <f t="shared" si="5"/>
        <v>0.15</v>
      </c>
      <c r="I103">
        <f t="shared" si="4"/>
        <v>77010000050</v>
      </c>
    </row>
    <row r="104" spans="1:9" hidden="1" x14ac:dyDescent="0.35">
      <c r="A104" s="22">
        <v>77010000009</v>
      </c>
      <c r="B104" s="22">
        <v>1</v>
      </c>
      <c r="C104" s="23" t="s">
        <v>0</v>
      </c>
      <c r="D104" s="22">
        <v>3.84</v>
      </c>
      <c r="E104" s="39">
        <v>9</v>
      </c>
      <c r="F104">
        <f t="shared" si="3"/>
        <v>34.56</v>
      </c>
      <c r="G104">
        <f t="shared" si="5"/>
        <v>0.15</v>
      </c>
      <c r="I104">
        <f t="shared" si="4"/>
        <v>77010000009</v>
      </c>
    </row>
    <row r="105" spans="1:9" hidden="1" x14ac:dyDescent="0.35">
      <c r="A105" s="22">
        <v>77010000017</v>
      </c>
      <c r="B105" s="22">
        <v>1</v>
      </c>
      <c r="C105" s="23" t="s">
        <v>3</v>
      </c>
      <c r="D105" s="22">
        <v>24.5</v>
      </c>
      <c r="E105" s="39">
        <v>9</v>
      </c>
      <c r="F105">
        <f t="shared" si="3"/>
        <v>220.5</v>
      </c>
      <c r="G105">
        <f t="shared" si="5"/>
        <v>0.15</v>
      </c>
      <c r="I105">
        <f t="shared" si="4"/>
        <v>77010000017</v>
      </c>
    </row>
    <row r="106" spans="1:9" hidden="1" x14ac:dyDescent="0.35">
      <c r="A106" s="22">
        <v>77010000031</v>
      </c>
      <c r="B106" s="22">
        <v>1</v>
      </c>
      <c r="C106" s="23" t="s">
        <v>0</v>
      </c>
      <c r="D106" s="22">
        <v>3.84</v>
      </c>
      <c r="E106" s="39">
        <v>9</v>
      </c>
      <c r="F106">
        <f t="shared" si="3"/>
        <v>34.56</v>
      </c>
      <c r="G106">
        <f t="shared" si="5"/>
        <v>0.15</v>
      </c>
      <c r="I106">
        <f t="shared" si="4"/>
        <v>77010000031</v>
      </c>
    </row>
    <row r="107" spans="1:9" hidden="1" x14ac:dyDescent="0.35">
      <c r="A107" s="22">
        <v>77010000043</v>
      </c>
      <c r="B107" s="22">
        <v>1</v>
      </c>
      <c r="C107" s="23" t="s">
        <v>0</v>
      </c>
      <c r="D107" s="22">
        <v>3.84</v>
      </c>
      <c r="E107" s="39">
        <v>9</v>
      </c>
      <c r="F107">
        <f t="shared" si="3"/>
        <v>34.56</v>
      </c>
      <c r="G107">
        <f t="shared" si="5"/>
        <v>0.15</v>
      </c>
      <c r="I107">
        <f t="shared" si="4"/>
        <v>77010000043</v>
      </c>
    </row>
    <row r="108" spans="1:9" hidden="1" x14ac:dyDescent="0.35">
      <c r="A108" s="22">
        <v>77010000002</v>
      </c>
      <c r="B108" s="22">
        <v>1</v>
      </c>
      <c r="C108" s="23" t="s">
        <v>0</v>
      </c>
      <c r="D108" s="22">
        <v>3.84</v>
      </c>
      <c r="E108" s="39">
        <v>9</v>
      </c>
      <c r="F108">
        <f t="shared" si="3"/>
        <v>34.56</v>
      </c>
      <c r="G108">
        <f t="shared" si="5"/>
        <v>0.15</v>
      </c>
      <c r="I108">
        <f t="shared" si="4"/>
        <v>77010000002</v>
      </c>
    </row>
    <row r="109" spans="1:9" hidden="1" x14ac:dyDescent="0.35">
      <c r="A109" s="22">
        <v>77010000013</v>
      </c>
      <c r="B109" s="22">
        <v>1</v>
      </c>
      <c r="C109" s="23" t="s">
        <v>0</v>
      </c>
      <c r="D109" s="22">
        <v>3.84</v>
      </c>
      <c r="E109" s="39">
        <v>9</v>
      </c>
      <c r="F109">
        <f t="shared" si="3"/>
        <v>34.56</v>
      </c>
      <c r="G109">
        <f t="shared" si="5"/>
        <v>0.15</v>
      </c>
      <c r="I109">
        <f t="shared" si="4"/>
        <v>77010000013</v>
      </c>
    </row>
    <row r="110" spans="1:9" hidden="1" x14ac:dyDescent="0.35">
      <c r="A110" s="22">
        <v>77010000036</v>
      </c>
      <c r="B110" s="22">
        <v>1</v>
      </c>
      <c r="C110" s="23" t="s">
        <v>0</v>
      </c>
      <c r="D110" s="22">
        <v>3.84</v>
      </c>
      <c r="E110" s="39">
        <v>9</v>
      </c>
      <c r="F110">
        <f t="shared" si="3"/>
        <v>34.56</v>
      </c>
      <c r="G110">
        <f t="shared" si="5"/>
        <v>0.15</v>
      </c>
      <c r="I110">
        <f t="shared" si="4"/>
        <v>77010000036</v>
      </c>
    </row>
    <row r="111" spans="1:9" hidden="1" x14ac:dyDescent="0.35">
      <c r="A111" s="22">
        <v>77010000076</v>
      </c>
      <c r="B111" s="22">
        <v>1</v>
      </c>
      <c r="C111" s="23" t="s">
        <v>0</v>
      </c>
      <c r="D111" s="22">
        <v>3.84</v>
      </c>
      <c r="E111" s="39">
        <v>9</v>
      </c>
      <c r="F111">
        <f t="shared" si="3"/>
        <v>34.56</v>
      </c>
      <c r="G111">
        <f t="shared" si="5"/>
        <v>0.15</v>
      </c>
      <c r="I111">
        <f t="shared" si="4"/>
        <v>77010000076</v>
      </c>
    </row>
    <row r="112" spans="1:9" hidden="1" x14ac:dyDescent="0.35">
      <c r="A112" s="22">
        <v>77010000079</v>
      </c>
      <c r="B112" s="22">
        <v>1</v>
      </c>
      <c r="C112" s="23" t="s">
        <v>0</v>
      </c>
      <c r="D112" s="22">
        <v>3.84</v>
      </c>
      <c r="E112" s="39">
        <v>9</v>
      </c>
      <c r="F112">
        <f t="shared" si="3"/>
        <v>34.56</v>
      </c>
      <c r="G112">
        <f t="shared" si="5"/>
        <v>0.15</v>
      </c>
      <c r="I112">
        <f t="shared" si="4"/>
        <v>77010000079</v>
      </c>
    </row>
    <row r="113" spans="1:9" hidden="1" x14ac:dyDescent="0.35">
      <c r="A113" s="22">
        <v>77010000074</v>
      </c>
      <c r="B113" s="22">
        <v>1</v>
      </c>
      <c r="C113" s="23" t="s">
        <v>0</v>
      </c>
      <c r="D113" s="22">
        <v>3.84</v>
      </c>
      <c r="E113" s="39">
        <v>9</v>
      </c>
      <c r="F113">
        <f t="shared" si="3"/>
        <v>34.56</v>
      </c>
      <c r="G113">
        <f t="shared" si="5"/>
        <v>0.15</v>
      </c>
      <c r="I113">
        <f t="shared" si="4"/>
        <v>77010000074</v>
      </c>
    </row>
    <row r="114" spans="1:9" hidden="1" x14ac:dyDescent="0.35">
      <c r="A114" s="22">
        <v>77010000076</v>
      </c>
      <c r="B114" s="22">
        <v>1</v>
      </c>
      <c r="C114" s="23" t="s">
        <v>0</v>
      </c>
      <c r="D114" s="22">
        <v>3.84</v>
      </c>
      <c r="E114" s="39">
        <v>9</v>
      </c>
      <c r="F114">
        <f t="shared" si="3"/>
        <v>34.56</v>
      </c>
      <c r="G114">
        <f t="shared" si="5"/>
        <v>0.15</v>
      </c>
      <c r="I114">
        <f t="shared" si="4"/>
        <v>77010000076</v>
      </c>
    </row>
    <row r="115" spans="1:9" hidden="1" x14ac:dyDescent="0.35">
      <c r="A115" s="22">
        <v>77010000078</v>
      </c>
      <c r="B115" s="22">
        <v>1</v>
      </c>
      <c r="C115" s="23" t="s">
        <v>0</v>
      </c>
      <c r="D115" s="22">
        <v>3.84</v>
      </c>
      <c r="E115" s="39">
        <v>9</v>
      </c>
      <c r="F115">
        <f t="shared" si="3"/>
        <v>34.56</v>
      </c>
      <c r="G115">
        <f t="shared" si="5"/>
        <v>0.15</v>
      </c>
      <c r="I115">
        <f t="shared" si="4"/>
        <v>77010000078</v>
      </c>
    </row>
    <row r="116" spans="1:9" hidden="1" x14ac:dyDescent="0.35">
      <c r="A116" s="22">
        <v>77010000056</v>
      </c>
      <c r="B116" s="22">
        <v>1</v>
      </c>
      <c r="C116" s="23" t="s">
        <v>0</v>
      </c>
      <c r="D116" s="22">
        <v>4.26</v>
      </c>
      <c r="E116" s="39">
        <v>10</v>
      </c>
      <c r="F116">
        <f t="shared" si="3"/>
        <v>42.599999999999994</v>
      </c>
      <c r="G116">
        <f t="shared" si="5"/>
        <v>0.16666666666666666</v>
      </c>
      <c r="I116">
        <f t="shared" si="4"/>
        <v>77010000056</v>
      </c>
    </row>
    <row r="117" spans="1:9" hidden="1" x14ac:dyDescent="0.35">
      <c r="A117" s="22">
        <v>77010000049</v>
      </c>
      <c r="B117" s="22">
        <v>1</v>
      </c>
      <c r="C117" s="23" t="s">
        <v>0</v>
      </c>
      <c r="D117" s="22">
        <v>4.26</v>
      </c>
      <c r="E117" s="39">
        <v>10</v>
      </c>
      <c r="F117">
        <f t="shared" si="3"/>
        <v>42.599999999999994</v>
      </c>
      <c r="G117">
        <f t="shared" si="5"/>
        <v>0.16666666666666666</v>
      </c>
      <c r="I117">
        <f t="shared" si="4"/>
        <v>77010000049</v>
      </c>
    </row>
    <row r="118" spans="1:9" hidden="1" x14ac:dyDescent="0.35">
      <c r="A118" s="22">
        <v>77010000051</v>
      </c>
      <c r="B118" s="22">
        <v>1</v>
      </c>
      <c r="C118" s="23" t="s">
        <v>3</v>
      </c>
      <c r="D118" s="22">
        <v>24.5</v>
      </c>
      <c r="E118" s="39">
        <v>10</v>
      </c>
      <c r="F118">
        <f t="shared" si="3"/>
        <v>245</v>
      </c>
      <c r="G118">
        <f t="shared" si="5"/>
        <v>0.16666666666666666</v>
      </c>
      <c r="I118">
        <f t="shared" si="4"/>
        <v>77010000051</v>
      </c>
    </row>
    <row r="119" spans="1:9" hidden="1" x14ac:dyDescent="0.35">
      <c r="A119" s="22">
        <v>77010000059</v>
      </c>
      <c r="B119" s="22">
        <v>1</v>
      </c>
      <c r="C119" s="23" t="s">
        <v>0</v>
      </c>
      <c r="D119" s="22">
        <v>4.26</v>
      </c>
      <c r="E119" s="39">
        <v>10</v>
      </c>
      <c r="F119">
        <f t="shared" si="3"/>
        <v>42.599999999999994</v>
      </c>
      <c r="G119">
        <f t="shared" si="5"/>
        <v>0.16666666666666666</v>
      </c>
      <c r="I119">
        <f t="shared" si="4"/>
        <v>77010000059</v>
      </c>
    </row>
    <row r="120" spans="1:9" hidden="1" x14ac:dyDescent="0.35">
      <c r="A120" s="22">
        <v>77010000068</v>
      </c>
      <c r="B120" s="22">
        <v>1</v>
      </c>
      <c r="C120" s="23" t="s">
        <v>0</v>
      </c>
      <c r="D120" s="22">
        <v>4.26</v>
      </c>
      <c r="E120" s="39">
        <v>10</v>
      </c>
      <c r="F120">
        <f t="shared" si="3"/>
        <v>42.599999999999994</v>
      </c>
      <c r="G120">
        <f t="shared" si="5"/>
        <v>0.16666666666666666</v>
      </c>
      <c r="I120">
        <f t="shared" si="4"/>
        <v>77010000068</v>
      </c>
    </row>
    <row r="121" spans="1:9" hidden="1" x14ac:dyDescent="0.35">
      <c r="A121" s="22">
        <v>77010000077</v>
      </c>
      <c r="B121" s="22">
        <v>1</v>
      </c>
      <c r="C121" s="23" t="s">
        <v>0</v>
      </c>
      <c r="D121" s="22">
        <v>4.26</v>
      </c>
      <c r="E121" s="39">
        <v>10</v>
      </c>
      <c r="F121">
        <f t="shared" si="3"/>
        <v>42.599999999999994</v>
      </c>
      <c r="G121">
        <f t="shared" si="5"/>
        <v>0.16666666666666666</v>
      </c>
      <c r="I121">
        <f t="shared" si="4"/>
        <v>77010000077</v>
      </c>
    </row>
    <row r="122" spans="1:9" hidden="1" x14ac:dyDescent="0.35">
      <c r="A122" s="22">
        <v>77010000083</v>
      </c>
      <c r="B122" s="22">
        <v>1</v>
      </c>
      <c r="C122" s="23" t="s">
        <v>0</v>
      </c>
      <c r="D122" s="22">
        <v>4.26</v>
      </c>
      <c r="E122" s="39">
        <v>10</v>
      </c>
      <c r="F122">
        <f t="shared" si="3"/>
        <v>42.599999999999994</v>
      </c>
      <c r="G122">
        <f t="shared" si="5"/>
        <v>0.16666666666666666</v>
      </c>
      <c r="I122">
        <f t="shared" si="4"/>
        <v>77010000083</v>
      </c>
    </row>
    <row r="123" spans="1:9" hidden="1" x14ac:dyDescent="0.35">
      <c r="A123" s="22">
        <v>77010000090</v>
      </c>
      <c r="B123" s="22">
        <v>1</v>
      </c>
      <c r="C123" s="23" t="s">
        <v>0</v>
      </c>
      <c r="D123" s="22">
        <v>4.26</v>
      </c>
      <c r="E123" s="39">
        <v>10</v>
      </c>
      <c r="F123">
        <f t="shared" si="3"/>
        <v>42.599999999999994</v>
      </c>
      <c r="G123">
        <f t="shared" si="5"/>
        <v>0.16666666666666666</v>
      </c>
      <c r="I123">
        <f t="shared" si="4"/>
        <v>77010000090</v>
      </c>
    </row>
    <row r="124" spans="1:9" hidden="1" x14ac:dyDescent="0.35">
      <c r="A124" s="22">
        <v>77010000011</v>
      </c>
      <c r="B124" s="22">
        <v>1</v>
      </c>
      <c r="C124" s="23" t="s">
        <v>0</v>
      </c>
      <c r="D124" s="22">
        <v>4.26</v>
      </c>
      <c r="E124" s="39">
        <v>10</v>
      </c>
      <c r="F124">
        <f t="shared" si="3"/>
        <v>42.599999999999994</v>
      </c>
      <c r="G124">
        <f t="shared" si="5"/>
        <v>0.16666666666666666</v>
      </c>
      <c r="I124">
        <f t="shared" si="4"/>
        <v>77010000011</v>
      </c>
    </row>
    <row r="125" spans="1:9" hidden="1" x14ac:dyDescent="0.35">
      <c r="A125" s="22">
        <v>77010000027</v>
      </c>
      <c r="B125" s="22">
        <v>1</v>
      </c>
      <c r="C125" s="23" t="s">
        <v>1</v>
      </c>
      <c r="D125" s="22">
        <v>7.43</v>
      </c>
      <c r="E125" s="39">
        <v>10</v>
      </c>
      <c r="F125">
        <f t="shared" si="3"/>
        <v>74.3</v>
      </c>
      <c r="G125">
        <f t="shared" si="5"/>
        <v>0.16666666666666666</v>
      </c>
      <c r="I125">
        <f t="shared" si="4"/>
        <v>77010000027</v>
      </c>
    </row>
    <row r="126" spans="1:9" hidden="1" x14ac:dyDescent="0.35">
      <c r="A126" s="22">
        <v>77010000039</v>
      </c>
      <c r="B126" s="22">
        <v>1</v>
      </c>
      <c r="C126" s="23" t="s">
        <v>0</v>
      </c>
      <c r="D126" s="22">
        <v>4.26</v>
      </c>
      <c r="E126" s="39">
        <v>10</v>
      </c>
      <c r="F126">
        <f t="shared" si="3"/>
        <v>42.599999999999994</v>
      </c>
      <c r="G126">
        <f t="shared" si="5"/>
        <v>0.16666666666666666</v>
      </c>
      <c r="I126">
        <f t="shared" si="4"/>
        <v>77010000039</v>
      </c>
    </row>
    <row r="127" spans="1:9" hidden="1" x14ac:dyDescent="0.35">
      <c r="A127" s="22">
        <v>77010000045</v>
      </c>
      <c r="B127" s="22">
        <v>1</v>
      </c>
      <c r="C127" s="23" t="s">
        <v>0</v>
      </c>
      <c r="D127" s="22">
        <v>4.26</v>
      </c>
      <c r="E127" s="39">
        <v>10</v>
      </c>
      <c r="F127">
        <f t="shared" si="3"/>
        <v>42.599999999999994</v>
      </c>
      <c r="G127">
        <f t="shared" si="5"/>
        <v>0.16666666666666666</v>
      </c>
      <c r="I127">
        <f t="shared" si="4"/>
        <v>77010000045</v>
      </c>
    </row>
    <row r="128" spans="1:9" hidden="1" x14ac:dyDescent="0.35">
      <c r="A128" s="22">
        <v>77010000046</v>
      </c>
      <c r="B128" s="22">
        <v>1</v>
      </c>
      <c r="C128" s="23" t="s">
        <v>0</v>
      </c>
      <c r="D128" s="22">
        <v>4.26</v>
      </c>
      <c r="E128" s="39">
        <v>10</v>
      </c>
      <c r="F128">
        <f t="shared" si="3"/>
        <v>42.599999999999994</v>
      </c>
      <c r="G128">
        <f t="shared" si="5"/>
        <v>0.16666666666666666</v>
      </c>
      <c r="I128">
        <f t="shared" si="4"/>
        <v>77010000046</v>
      </c>
    </row>
    <row r="129" spans="1:9" hidden="1" x14ac:dyDescent="0.35">
      <c r="A129" s="22">
        <v>77010000011</v>
      </c>
      <c r="B129" s="22">
        <v>1</v>
      </c>
      <c r="C129" s="23" t="s">
        <v>0</v>
      </c>
      <c r="D129" s="22">
        <v>4.26</v>
      </c>
      <c r="E129" s="39">
        <v>10</v>
      </c>
      <c r="F129">
        <f t="shared" si="3"/>
        <v>42.599999999999994</v>
      </c>
      <c r="G129">
        <f t="shared" si="5"/>
        <v>0.16666666666666666</v>
      </c>
      <c r="I129">
        <f t="shared" si="4"/>
        <v>77010000011</v>
      </c>
    </row>
    <row r="130" spans="1:9" hidden="1" x14ac:dyDescent="0.35">
      <c r="A130" s="22">
        <v>77010000032</v>
      </c>
      <c r="B130" s="22">
        <v>1</v>
      </c>
      <c r="C130" s="23" t="s">
        <v>0</v>
      </c>
      <c r="D130" s="22">
        <v>4.26</v>
      </c>
      <c r="E130" s="39">
        <v>10</v>
      </c>
      <c r="F130">
        <f t="shared" ref="F130:F193" si="6">D130*E130</f>
        <v>42.599999999999994</v>
      </c>
      <c r="G130">
        <f t="shared" si="5"/>
        <v>0.16666666666666666</v>
      </c>
      <c r="I130">
        <f t="shared" ref="I130:I193" si="7">_xlfn.UNIQUE(A130,$A:$A,A130)</f>
        <v>77010000032</v>
      </c>
    </row>
    <row r="131" spans="1:9" hidden="1" x14ac:dyDescent="0.35">
      <c r="A131" s="22">
        <v>77010000078</v>
      </c>
      <c r="B131" s="22">
        <v>1</v>
      </c>
      <c r="C131" s="23" t="s">
        <v>0</v>
      </c>
      <c r="D131" s="22">
        <v>4.26</v>
      </c>
      <c r="E131" s="39">
        <v>10</v>
      </c>
      <c r="F131">
        <f t="shared" si="6"/>
        <v>42.599999999999994</v>
      </c>
      <c r="G131">
        <f t="shared" ref="G131:G194" si="8">E131/60</f>
        <v>0.16666666666666666</v>
      </c>
      <c r="I131">
        <f t="shared" si="7"/>
        <v>77010000078</v>
      </c>
    </row>
    <row r="132" spans="1:9" hidden="1" x14ac:dyDescent="0.35">
      <c r="A132" s="22">
        <v>77010000057</v>
      </c>
      <c r="B132" s="22">
        <v>1</v>
      </c>
      <c r="C132" s="23" t="s">
        <v>0</v>
      </c>
      <c r="D132" s="22">
        <v>4.6900000000000004</v>
      </c>
      <c r="E132" s="39">
        <v>11</v>
      </c>
      <c r="F132">
        <f t="shared" si="6"/>
        <v>51.59</v>
      </c>
      <c r="G132">
        <f t="shared" si="8"/>
        <v>0.18333333333333332</v>
      </c>
      <c r="I132">
        <f t="shared" si="7"/>
        <v>77010000057</v>
      </c>
    </row>
    <row r="133" spans="1:9" hidden="1" x14ac:dyDescent="0.35">
      <c r="A133" s="22">
        <v>77010000053</v>
      </c>
      <c r="B133" s="22">
        <v>1</v>
      </c>
      <c r="C133" s="23" t="s">
        <v>0</v>
      </c>
      <c r="D133" s="22">
        <v>4.6900000000000004</v>
      </c>
      <c r="E133" s="39">
        <v>11</v>
      </c>
      <c r="F133">
        <f t="shared" si="6"/>
        <v>51.59</v>
      </c>
      <c r="G133">
        <f t="shared" si="8"/>
        <v>0.18333333333333332</v>
      </c>
      <c r="I133">
        <f t="shared" si="7"/>
        <v>77010000053</v>
      </c>
    </row>
    <row r="134" spans="1:9" hidden="1" x14ac:dyDescent="0.35">
      <c r="A134" s="22">
        <v>77010000063</v>
      </c>
      <c r="B134" s="22">
        <v>1</v>
      </c>
      <c r="C134" s="23" t="s">
        <v>0</v>
      </c>
      <c r="D134" s="22">
        <v>4.6900000000000004</v>
      </c>
      <c r="E134" s="39">
        <v>11</v>
      </c>
      <c r="F134">
        <f t="shared" si="6"/>
        <v>51.59</v>
      </c>
      <c r="G134">
        <f t="shared" si="8"/>
        <v>0.18333333333333332</v>
      </c>
      <c r="I134">
        <f t="shared" si="7"/>
        <v>77010000063</v>
      </c>
    </row>
    <row r="135" spans="1:9" x14ac:dyDescent="0.35">
      <c r="A135" s="22">
        <v>77010000055</v>
      </c>
      <c r="B135" s="22">
        <v>1</v>
      </c>
      <c r="C135" s="23" t="s">
        <v>3</v>
      </c>
      <c r="D135" s="22">
        <v>24.5</v>
      </c>
      <c r="E135" s="39">
        <v>11</v>
      </c>
      <c r="F135">
        <f t="shared" si="6"/>
        <v>269.5</v>
      </c>
      <c r="G135">
        <f t="shared" si="8"/>
        <v>0.18333333333333332</v>
      </c>
      <c r="I135">
        <f t="shared" si="7"/>
        <v>77010000055</v>
      </c>
    </row>
    <row r="136" spans="1:9" hidden="1" x14ac:dyDescent="0.35">
      <c r="A136" s="22">
        <v>77010000052</v>
      </c>
      <c r="B136" s="22">
        <v>1</v>
      </c>
      <c r="C136" s="23" t="s">
        <v>0</v>
      </c>
      <c r="D136" s="22">
        <v>4.6900000000000004</v>
      </c>
      <c r="E136" s="39">
        <v>11</v>
      </c>
      <c r="F136">
        <f t="shared" si="6"/>
        <v>51.59</v>
      </c>
      <c r="G136">
        <f t="shared" si="8"/>
        <v>0.18333333333333332</v>
      </c>
      <c r="I136">
        <f t="shared" si="7"/>
        <v>77010000052</v>
      </c>
    </row>
    <row r="137" spans="1:9" hidden="1" x14ac:dyDescent="0.35">
      <c r="A137" s="22">
        <v>77010000056</v>
      </c>
      <c r="B137" s="22">
        <v>1</v>
      </c>
      <c r="C137" s="23" t="s">
        <v>0</v>
      </c>
      <c r="D137" s="22">
        <v>4.6900000000000004</v>
      </c>
      <c r="E137" s="39">
        <v>11</v>
      </c>
      <c r="F137">
        <f t="shared" si="6"/>
        <v>51.59</v>
      </c>
      <c r="G137">
        <f t="shared" si="8"/>
        <v>0.18333333333333332</v>
      </c>
      <c r="I137">
        <f t="shared" si="7"/>
        <v>77010000056</v>
      </c>
    </row>
    <row r="138" spans="1:9" hidden="1" x14ac:dyDescent="0.35">
      <c r="A138" s="22">
        <v>77010000060</v>
      </c>
      <c r="B138" s="22">
        <v>1</v>
      </c>
      <c r="C138" s="23" t="s">
        <v>0</v>
      </c>
      <c r="D138" s="22">
        <v>4.6900000000000004</v>
      </c>
      <c r="E138" s="39">
        <v>11</v>
      </c>
      <c r="F138">
        <f t="shared" si="6"/>
        <v>51.59</v>
      </c>
      <c r="G138">
        <f t="shared" si="8"/>
        <v>0.18333333333333332</v>
      </c>
      <c r="I138">
        <f t="shared" si="7"/>
        <v>77010000060</v>
      </c>
    </row>
    <row r="139" spans="1:9" hidden="1" x14ac:dyDescent="0.35">
      <c r="A139" s="22">
        <v>77010000092</v>
      </c>
      <c r="B139" s="22">
        <v>1</v>
      </c>
      <c r="C139" s="23" t="s">
        <v>3</v>
      </c>
      <c r="D139" s="22">
        <v>24.5</v>
      </c>
      <c r="E139" s="39">
        <v>11</v>
      </c>
      <c r="F139">
        <f t="shared" si="6"/>
        <v>269.5</v>
      </c>
      <c r="G139">
        <f t="shared" si="8"/>
        <v>0.18333333333333332</v>
      </c>
      <c r="I139">
        <f t="shared" si="7"/>
        <v>77010000092</v>
      </c>
    </row>
    <row r="140" spans="1:9" hidden="1" x14ac:dyDescent="0.35">
      <c r="A140" s="22">
        <v>77010000066</v>
      </c>
      <c r="B140" s="22">
        <v>1</v>
      </c>
      <c r="C140" s="23" t="s">
        <v>0</v>
      </c>
      <c r="D140" s="22">
        <v>4.6900000000000004</v>
      </c>
      <c r="E140" s="39">
        <v>11</v>
      </c>
      <c r="F140">
        <f t="shared" si="6"/>
        <v>51.59</v>
      </c>
      <c r="G140">
        <f t="shared" si="8"/>
        <v>0.18333333333333332</v>
      </c>
      <c r="I140">
        <f t="shared" si="7"/>
        <v>77010000066</v>
      </c>
    </row>
    <row r="141" spans="1:9" hidden="1" x14ac:dyDescent="0.35">
      <c r="A141" s="22">
        <v>77010000074</v>
      </c>
      <c r="B141" s="22">
        <v>1</v>
      </c>
      <c r="C141" s="23" t="s">
        <v>0</v>
      </c>
      <c r="D141" s="22">
        <v>4.6900000000000004</v>
      </c>
      <c r="E141" s="39">
        <v>11</v>
      </c>
      <c r="F141">
        <f t="shared" si="6"/>
        <v>51.59</v>
      </c>
      <c r="G141">
        <f t="shared" si="8"/>
        <v>0.18333333333333332</v>
      </c>
      <c r="I141">
        <f t="shared" si="7"/>
        <v>77010000074</v>
      </c>
    </row>
    <row r="142" spans="1:9" hidden="1" x14ac:dyDescent="0.35">
      <c r="A142" s="22">
        <v>77010000006</v>
      </c>
      <c r="B142" s="22">
        <v>1</v>
      </c>
      <c r="C142" s="23" t="s">
        <v>0</v>
      </c>
      <c r="D142" s="22">
        <v>4.6900000000000004</v>
      </c>
      <c r="E142" s="39">
        <v>11</v>
      </c>
      <c r="F142">
        <f t="shared" si="6"/>
        <v>51.59</v>
      </c>
      <c r="G142">
        <f t="shared" si="8"/>
        <v>0.18333333333333332</v>
      </c>
      <c r="I142">
        <f t="shared" si="7"/>
        <v>77010000006</v>
      </c>
    </row>
    <row r="143" spans="1:9" hidden="1" x14ac:dyDescent="0.35">
      <c r="A143" s="22">
        <v>77010000022</v>
      </c>
      <c r="B143" s="22">
        <v>1</v>
      </c>
      <c r="C143" s="23" t="s">
        <v>0</v>
      </c>
      <c r="D143" s="22">
        <v>4.6900000000000004</v>
      </c>
      <c r="E143" s="39">
        <v>11</v>
      </c>
      <c r="F143">
        <f t="shared" si="6"/>
        <v>51.59</v>
      </c>
      <c r="G143">
        <f t="shared" si="8"/>
        <v>0.18333333333333332</v>
      </c>
      <c r="I143">
        <f t="shared" si="7"/>
        <v>77010000022</v>
      </c>
    </row>
    <row r="144" spans="1:9" hidden="1" x14ac:dyDescent="0.35">
      <c r="A144" s="22">
        <v>77010000037</v>
      </c>
      <c r="B144" s="22">
        <v>1</v>
      </c>
      <c r="C144" s="23" t="s">
        <v>0</v>
      </c>
      <c r="D144" s="22">
        <v>4.6900000000000004</v>
      </c>
      <c r="E144" s="39">
        <v>11</v>
      </c>
      <c r="F144">
        <f t="shared" si="6"/>
        <v>51.59</v>
      </c>
      <c r="G144">
        <f t="shared" si="8"/>
        <v>0.18333333333333332</v>
      </c>
      <c r="I144">
        <f t="shared" si="7"/>
        <v>77010000037</v>
      </c>
    </row>
    <row r="145" spans="1:9" hidden="1" x14ac:dyDescent="0.35">
      <c r="A145" s="22">
        <v>77010000018</v>
      </c>
      <c r="B145" s="22">
        <v>1</v>
      </c>
      <c r="C145" s="23" t="s">
        <v>0</v>
      </c>
      <c r="D145" s="22">
        <v>4.6900000000000004</v>
      </c>
      <c r="E145" s="39">
        <v>11</v>
      </c>
      <c r="F145">
        <f t="shared" si="6"/>
        <v>51.59</v>
      </c>
      <c r="G145">
        <f t="shared" si="8"/>
        <v>0.18333333333333332</v>
      </c>
      <c r="I145">
        <f t="shared" si="7"/>
        <v>77010000018</v>
      </c>
    </row>
    <row r="146" spans="1:9" hidden="1" x14ac:dyDescent="0.35">
      <c r="A146" s="22">
        <v>77010000034</v>
      </c>
      <c r="B146" s="22">
        <v>1</v>
      </c>
      <c r="C146" s="23" t="s">
        <v>0</v>
      </c>
      <c r="D146" s="22">
        <v>4.6900000000000004</v>
      </c>
      <c r="E146" s="39">
        <v>11</v>
      </c>
      <c r="F146">
        <f t="shared" si="6"/>
        <v>51.59</v>
      </c>
      <c r="G146">
        <f t="shared" si="8"/>
        <v>0.18333333333333332</v>
      </c>
      <c r="I146">
        <f t="shared" si="7"/>
        <v>77010000034</v>
      </c>
    </row>
    <row r="147" spans="1:9" hidden="1" x14ac:dyDescent="0.35">
      <c r="A147" s="22">
        <v>77010000051</v>
      </c>
      <c r="B147" s="22">
        <v>1</v>
      </c>
      <c r="C147" s="23" t="s">
        <v>0</v>
      </c>
      <c r="D147" s="22">
        <v>4.6900000000000004</v>
      </c>
      <c r="E147" s="39">
        <v>11</v>
      </c>
      <c r="F147">
        <f t="shared" si="6"/>
        <v>51.59</v>
      </c>
      <c r="G147">
        <f t="shared" si="8"/>
        <v>0.18333333333333332</v>
      </c>
      <c r="I147">
        <f t="shared" si="7"/>
        <v>77010000051</v>
      </c>
    </row>
    <row r="148" spans="1:9" hidden="1" x14ac:dyDescent="0.35">
      <c r="A148" s="22">
        <v>77010000082</v>
      </c>
      <c r="B148" s="22">
        <v>1</v>
      </c>
      <c r="C148" s="23" t="s">
        <v>0</v>
      </c>
      <c r="D148" s="22">
        <v>4.6900000000000004</v>
      </c>
      <c r="E148" s="39">
        <v>11</v>
      </c>
      <c r="F148">
        <f t="shared" si="6"/>
        <v>51.59</v>
      </c>
      <c r="G148">
        <f t="shared" si="8"/>
        <v>0.18333333333333332</v>
      </c>
      <c r="I148">
        <f t="shared" si="7"/>
        <v>77010000082</v>
      </c>
    </row>
    <row r="149" spans="1:9" hidden="1" x14ac:dyDescent="0.35">
      <c r="A149" s="22">
        <v>77010000080</v>
      </c>
      <c r="B149" s="22">
        <v>1</v>
      </c>
      <c r="C149" s="23" t="s">
        <v>0</v>
      </c>
      <c r="D149" s="22">
        <v>4.6900000000000004</v>
      </c>
      <c r="E149" s="39">
        <v>11</v>
      </c>
      <c r="F149">
        <f t="shared" si="6"/>
        <v>51.59</v>
      </c>
      <c r="G149">
        <f t="shared" si="8"/>
        <v>0.18333333333333332</v>
      </c>
      <c r="I149">
        <f t="shared" si="7"/>
        <v>77010000080</v>
      </c>
    </row>
    <row r="150" spans="1:9" hidden="1" x14ac:dyDescent="0.35">
      <c r="A150" s="22">
        <v>77010000059</v>
      </c>
      <c r="B150" s="22">
        <v>1</v>
      </c>
      <c r="C150" s="23" t="s">
        <v>0</v>
      </c>
      <c r="D150" s="22">
        <v>5.1100000000000003</v>
      </c>
      <c r="E150" s="39">
        <v>12</v>
      </c>
      <c r="F150">
        <f t="shared" si="6"/>
        <v>61.320000000000007</v>
      </c>
      <c r="G150">
        <f t="shared" si="8"/>
        <v>0.2</v>
      </c>
      <c r="I150">
        <f t="shared" si="7"/>
        <v>77010000059</v>
      </c>
    </row>
    <row r="151" spans="1:9" hidden="1" x14ac:dyDescent="0.35">
      <c r="A151" s="22">
        <v>77010000052</v>
      </c>
      <c r="B151" s="22">
        <v>1</v>
      </c>
      <c r="C151" s="23" t="s">
        <v>0</v>
      </c>
      <c r="D151" s="22">
        <v>5.1100000000000003</v>
      </c>
      <c r="E151" s="39">
        <v>12</v>
      </c>
      <c r="F151">
        <f t="shared" si="6"/>
        <v>61.320000000000007</v>
      </c>
      <c r="G151">
        <f t="shared" si="8"/>
        <v>0.2</v>
      </c>
      <c r="I151">
        <f t="shared" si="7"/>
        <v>77010000052</v>
      </c>
    </row>
    <row r="152" spans="1:9" hidden="1" x14ac:dyDescent="0.35">
      <c r="A152" s="22">
        <v>77010000059</v>
      </c>
      <c r="B152" s="22">
        <v>1</v>
      </c>
      <c r="C152" s="23" t="s">
        <v>0</v>
      </c>
      <c r="D152" s="22">
        <v>5.1100000000000003</v>
      </c>
      <c r="E152" s="39">
        <v>12</v>
      </c>
      <c r="F152">
        <f t="shared" si="6"/>
        <v>61.320000000000007</v>
      </c>
      <c r="G152">
        <f t="shared" si="8"/>
        <v>0.2</v>
      </c>
      <c r="I152">
        <f t="shared" si="7"/>
        <v>77010000059</v>
      </c>
    </row>
    <row r="153" spans="1:9" hidden="1" x14ac:dyDescent="0.35">
      <c r="A153" s="22">
        <v>77010000068</v>
      </c>
      <c r="B153" s="22">
        <v>1</v>
      </c>
      <c r="C153" s="23" t="s">
        <v>0</v>
      </c>
      <c r="D153" s="22">
        <v>5.1100000000000003</v>
      </c>
      <c r="E153" s="39">
        <v>12</v>
      </c>
      <c r="F153">
        <f t="shared" si="6"/>
        <v>61.320000000000007</v>
      </c>
      <c r="G153">
        <f t="shared" si="8"/>
        <v>0.2</v>
      </c>
      <c r="I153">
        <f t="shared" si="7"/>
        <v>77010000068</v>
      </c>
    </row>
    <row r="154" spans="1:9" hidden="1" x14ac:dyDescent="0.35">
      <c r="A154" s="22">
        <v>77010000039</v>
      </c>
      <c r="B154" s="22">
        <v>1</v>
      </c>
      <c r="C154" s="23" t="s">
        <v>0</v>
      </c>
      <c r="D154" s="22">
        <v>5.1100000000000003</v>
      </c>
      <c r="E154" s="39">
        <v>12</v>
      </c>
      <c r="F154">
        <f t="shared" si="6"/>
        <v>61.320000000000007</v>
      </c>
      <c r="G154">
        <f t="shared" si="8"/>
        <v>0.2</v>
      </c>
      <c r="I154">
        <f t="shared" si="7"/>
        <v>77010000039</v>
      </c>
    </row>
    <row r="155" spans="1:9" hidden="1" x14ac:dyDescent="0.35">
      <c r="A155" s="22">
        <v>77010000041</v>
      </c>
      <c r="B155" s="22">
        <v>1</v>
      </c>
      <c r="C155" s="23" t="s">
        <v>0</v>
      </c>
      <c r="D155" s="22">
        <v>5.1100000000000003</v>
      </c>
      <c r="E155" s="39">
        <v>12</v>
      </c>
      <c r="F155">
        <f t="shared" si="6"/>
        <v>61.320000000000007</v>
      </c>
      <c r="G155">
        <f t="shared" si="8"/>
        <v>0.2</v>
      </c>
      <c r="I155">
        <f t="shared" si="7"/>
        <v>77010000041</v>
      </c>
    </row>
    <row r="156" spans="1:9" hidden="1" x14ac:dyDescent="0.35">
      <c r="A156" s="22">
        <v>77010000044</v>
      </c>
      <c r="B156" s="22">
        <v>1</v>
      </c>
      <c r="C156" s="23" t="s">
        <v>0</v>
      </c>
      <c r="D156" s="22">
        <v>5.1100000000000003</v>
      </c>
      <c r="E156" s="39">
        <v>12</v>
      </c>
      <c r="F156">
        <f t="shared" si="6"/>
        <v>61.320000000000007</v>
      </c>
      <c r="G156">
        <f t="shared" si="8"/>
        <v>0.2</v>
      </c>
      <c r="I156">
        <f t="shared" si="7"/>
        <v>77010000044</v>
      </c>
    </row>
    <row r="157" spans="1:9" hidden="1" x14ac:dyDescent="0.35">
      <c r="A157" s="22">
        <v>77010000091</v>
      </c>
      <c r="B157" s="22">
        <v>1</v>
      </c>
      <c r="C157" s="23" t="s">
        <v>0</v>
      </c>
      <c r="D157" s="22">
        <v>5.1100000000000003</v>
      </c>
      <c r="E157" s="39">
        <v>12</v>
      </c>
      <c r="F157">
        <f t="shared" si="6"/>
        <v>61.320000000000007</v>
      </c>
      <c r="G157">
        <f t="shared" si="8"/>
        <v>0.2</v>
      </c>
      <c r="I157">
        <f t="shared" si="7"/>
        <v>77010000091</v>
      </c>
    </row>
    <row r="158" spans="1:9" hidden="1" x14ac:dyDescent="0.35">
      <c r="A158" s="22">
        <v>77010000021</v>
      </c>
      <c r="B158" s="22">
        <v>1</v>
      </c>
      <c r="C158" s="23" t="s">
        <v>1</v>
      </c>
      <c r="D158" s="22">
        <v>14.87</v>
      </c>
      <c r="E158" s="39">
        <v>12</v>
      </c>
      <c r="F158">
        <f t="shared" si="6"/>
        <v>178.44</v>
      </c>
      <c r="G158">
        <f t="shared" si="8"/>
        <v>0.2</v>
      </c>
      <c r="I158">
        <f t="shared" si="7"/>
        <v>77010000021</v>
      </c>
    </row>
    <row r="159" spans="1:9" hidden="1" x14ac:dyDescent="0.35">
      <c r="A159" s="22">
        <v>77010000026</v>
      </c>
      <c r="B159" s="22">
        <v>1</v>
      </c>
      <c r="C159" s="23" t="s">
        <v>0</v>
      </c>
      <c r="D159" s="22">
        <v>5.1100000000000003</v>
      </c>
      <c r="E159" s="39">
        <v>12</v>
      </c>
      <c r="F159">
        <f t="shared" si="6"/>
        <v>61.320000000000007</v>
      </c>
      <c r="G159">
        <f t="shared" si="8"/>
        <v>0.2</v>
      </c>
      <c r="I159">
        <f t="shared" si="7"/>
        <v>77010000026</v>
      </c>
    </row>
    <row r="160" spans="1:9" hidden="1" x14ac:dyDescent="0.35">
      <c r="A160" s="22">
        <v>77010000029</v>
      </c>
      <c r="B160" s="22">
        <v>1</v>
      </c>
      <c r="C160" s="23" t="s">
        <v>1</v>
      </c>
      <c r="D160" s="22">
        <v>14.87</v>
      </c>
      <c r="E160" s="39">
        <v>12</v>
      </c>
      <c r="F160">
        <f t="shared" si="6"/>
        <v>178.44</v>
      </c>
      <c r="G160">
        <f t="shared" si="8"/>
        <v>0.2</v>
      </c>
      <c r="I160">
        <f t="shared" si="7"/>
        <v>77010000029</v>
      </c>
    </row>
    <row r="161" spans="1:9" hidden="1" x14ac:dyDescent="0.35">
      <c r="A161" s="22">
        <v>77010000038</v>
      </c>
      <c r="B161" s="22">
        <v>1</v>
      </c>
      <c r="C161" s="23" t="s">
        <v>0</v>
      </c>
      <c r="D161" s="22">
        <v>5.1100000000000003</v>
      </c>
      <c r="E161" s="39">
        <v>12</v>
      </c>
      <c r="F161">
        <f t="shared" si="6"/>
        <v>61.320000000000007</v>
      </c>
      <c r="G161">
        <f t="shared" si="8"/>
        <v>0.2</v>
      </c>
      <c r="I161">
        <f t="shared" si="7"/>
        <v>77010000038</v>
      </c>
    </row>
    <row r="162" spans="1:9" hidden="1" x14ac:dyDescent="0.35">
      <c r="A162" s="22">
        <v>77010000053</v>
      </c>
      <c r="B162" s="22">
        <v>1</v>
      </c>
      <c r="C162" s="23" t="s">
        <v>0</v>
      </c>
      <c r="D162" s="22">
        <v>5.1100000000000003</v>
      </c>
      <c r="E162" s="39">
        <v>12</v>
      </c>
      <c r="F162">
        <f t="shared" si="6"/>
        <v>61.320000000000007</v>
      </c>
      <c r="G162">
        <f t="shared" si="8"/>
        <v>0.2</v>
      </c>
      <c r="I162">
        <f t="shared" si="7"/>
        <v>77010000053</v>
      </c>
    </row>
    <row r="163" spans="1:9" hidden="1" x14ac:dyDescent="0.35">
      <c r="A163" s="22">
        <v>77010000057</v>
      </c>
      <c r="B163" s="22">
        <v>1</v>
      </c>
      <c r="C163" s="23" t="s">
        <v>0</v>
      </c>
      <c r="D163" s="22">
        <v>5.1100000000000003</v>
      </c>
      <c r="E163" s="39">
        <v>12</v>
      </c>
      <c r="F163">
        <f t="shared" si="6"/>
        <v>61.320000000000007</v>
      </c>
      <c r="G163">
        <f t="shared" si="8"/>
        <v>0.2</v>
      </c>
      <c r="I163">
        <f t="shared" si="7"/>
        <v>77010000057</v>
      </c>
    </row>
    <row r="164" spans="1:9" hidden="1" x14ac:dyDescent="0.35">
      <c r="A164" s="22">
        <v>77010000060</v>
      </c>
      <c r="B164" s="22">
        <v>1</v>
      </c>
      <c r="C164" s="23" t="s">
        <v>0</v>
      </c>
      <c r="D164" s="22">
        <v>5.1100000000000003</v>
      </c>
      <c r="E164" s="39">
        <v>12</v>
      </c>
      <c r="F164">
        <f t="shared" si="6"/>
        <v>61.320000000000007</v>
      </c>
      <c r="G164">
        <f t="shared" si="8"/>
        <v>0.2</v>
      </c>
      <c r="I164">
        <f t="shared" si="7"/>
        <v>77010000060</v>
      </c>
    </row>
    <row r="165" spans="1:9" hidden="1" x14ac:dyDescent="0.35">
      <c r="A165" s="22">
        <v>77010000080</v>
      </c>
      <c r="B165" s="22">
        <v>1</v>
      </c>
      <c r="C165" s="23" t="s">
        <v>0</v>
      </c>
      <c r="D165" s="22">
        <v>5.1100000000000003</v>
      </c>
      <c r="E165" s="39">
        <v>12</v>
      </c>
      <c r="F165">
        <f t="shared" si="6"/>
        <v>61.320000000000007</v>
      </c>
      <c r="G165">
        <f t="shared" si="8"/>
        <v>0.2</v>
      </c>
      <c r="I165">
        <f t="shared" si="7"/>
        <v>77010000080</v>
      </c>
    </row>
    <row r="166" spans="1:9" hidden="1" x14ac:dyDescent="0.35">
      <c r="A166" s="22">
        <v>77010000020</v>
      </c>
      <c r="B166" s="22">
        <v>1</v>
      </c>
      <c r="C166" s="23" t="s">
        <v>0</v>
      </c>
      <c r="D166" s="22">
        <v>5.54</v>
      </c>
      <c r="E166" s="39">
        <v>13</v>
      </c>
      <c r="F166">
        <f t="shared" si="6"/>
        <v>72.02</v>
      </c>
      <c r="G166">
        <f t="shared" si="8"/>
        <v>0.21666666666666667</v>
      </c>
      <c r="I166">
        <f t="shared" si="7"/>
        <v>77010000020</v>
      </c>
    </row>
    <row r="167" spans="1:9" hidden="1" x14ac:dyDescent="0.35">
      <c r="A167" s="22">
        <v>77010000025</v>
      </c>
      <c r="B167" s="22">
        <v>1</v>
      </c>
      <c r="C167" s="23" t="s">
        <v>0</v>
      </c>
      <c r="D167" s="22">
        <v>5.54</v>
      </c>
      <c r="E167" s="39">
        <v>13</v>
      </c>
      <c r="F167">
        <f t="shared" si="6"/>
        <v>72.02</v>
      </c>
      <c r="G167">
        <f t="shared" si="8"/>
        <v>0.21666666666666667</v>
      </c>
      <c r="I167">
        <f t="shared" si="7"/>
        <v>77010000025</v>
      </c>
    </row>
    <row r="168" spans="1:9" hidden="1" x14ac:dyDescent="0.35">
      <c r="A168" s="22">
        <v>77010000034</v>
      </c>
      <c r="B168" s="22">
        <v>1</v>
      </c>
      <c r="C168" s="23" t="s">
        <v>0</v>
      </c>
      <c r="D168" s="22">
        <v>5.54</v>
      </c>
      <c r="E168" s="39">
        <v>13</v>
      </c>
      <c r="F168">
        <f t="shared" si="6"/>
        <v>72.02</v>
      </c>
      <c r="G168">
        <f t="shared" si="8"/>
        <v>0.21666666666666667</v>
      </c>
      <c r="I168">
        <f t="shared" si="7"/>
        <v>77010000034</v>
      </c>
    </row>
    <row r="169" spans="1:9" hidden="1" x14ac:dyDescent="0.35">
      <c r="A169" s="22">
        <v>77010000040</v>
      </c>
      <c r="B169" s="22">
        <v>1</v>
      </c>
      <c r="C169" s="23" t="s">
        <v>0</v>
      </c>
      <c r="D169" s="22">
        <v>5.54</v>
      </c>
      <c r="E169" s="39">
        <v>13</v>
      </c>
      <c r="F169">
        <f t="shared" si="6"/>
        <v>72.02</v>
      </c>
      <c r="G169">
        <f t="shared" si="8"/>
        <v>0.21666666666666667</v>
      </c>
      <c r="I169">
        <f t="shared" si="7"/>
        <v>77010000040</v>
      </c>
    </row>
    <row r="170" spans="1:9" hidden="1" x14ac:dyDescent="0.35">
      <c r="A170" s="22">
        <v>77010000044</v>
      </c>
      <c r="B170" s="22">
        <v>1</v>
      </c>
      <c r="C170" s="23" t="s">
        <v>0</v>
      </c>
      <c r="D170" s="22">
        <v>5.54</v>
      </c>
      <c r="E170" s="39">
        <v>13</v>
      </c>
      <c r="F170">
        <f t="shared" si="6"/>
        <v>72.02</v>
      </c>
      <c r="G170">
        <f t="shared" si="8"/>
        <v>0.21666666666666667</v>
      </c>
      <c r="I170">
        <f t="shared" si="7"/>
        <v>77010000044</v>
      </c>
    </row>
    <row r="171" spans="1:9" hidden="1" x14ac:dyDescent="0.35">
      <c r="A171" s="22">
        <v>77010000075</v>
      </c>
      <c r="B171" s="22">
        <v>1</v>
      </c>
      <c r="C171" s="23" t="s">
        <v>0</v>
      </c>
      <c r="D171" s="22">
        <v>5.54</v>
      </c>
      <c r="E171" s="39">
        <v>13</v>
      </c>
      <c r="F171">
        <f t="shared" si="6"/>
        <v>72.02</v>
      </c>
      <c r="G171">
        <f t="shared" si="8"/>
        <v>0.21666666666666667</v>
      </c>
      <c r="I171">
        <f t="shared" si="7"/>
        <v>77010000075</v>
      </c>
    </row>
    <row r="172" spans="1:9" hidden="1" x14ac:dyDescent="0.35">
      <c r="A172" s="22">
        <v>77010000050</v>
      </c>
      <c r="B172" s="22">
        <v>1</v>
      </c>
      <c r="C172" s="23" t="s">
        <v>0</v>
      </c>
      <c r="D172" s="22">
        <v>5.97</v>
      </c>
      <c r="E172" s="39">
        <v>14</v>
      </c>
      <c r="F172">
        <f t="shared" si="6"/>
        <v>83.58</v>
      </c>
      <c r="G172">
        <f t="shared" si="8"/>
        <v>0.23333333333333334</v>
      </c>
      <c r="I172">
        <f t="shared" si="7"/>
        <v>77010000050</v>
      </c>
    </row>
    <row r="173" spans="1:9" hidden="1" x14ac:dyDescent="0.35">
      <c r="A173" s="22">
        <v>77010000060</v>
      </c>
      <c r="B173" s="22">
        <v>1</v>
      </c>
      <c r="C173" s="23" t="s">
        <v>0</v>
      </c>
      <c r="D173" s="22">
        <v>5.97</v>
      </c>
      <c r="E173" s="39">
        <v>14</v>
      </c>
      <c r="F173">
        <f t="shared" si="6"/>
        <v>83.58</v>
      </c>
      <c r="G173">
        <f t="shared" si="8"/>
        <v>0.23333333333333334</v>
      </c>
      <c r="I173">
        <f t="shared" si="7"/>
        <v>77010000060</v>
      </c>
    </row>
    <row r="174" spans="1:9" hidden="1" x14ac:dyDescent="0.35">
      <c r="A174" s="22">
        <v>77010000038</v>
      </c>
      <c r="B174" s="22">
        <v>1</v>
      </c>
      <c r="C174" s="23" t="s">
        <v>2</v>
      </c>
      <c r="D174" s="22">
        <v>14.87</v>
      </c>
      <c r="E174" s="39">
        <v>14</v>
      </c>
      <c r="F174">
        <f t="shared" si="6"/>
        <v>208.17999999999998</v>
      </c>
      <c r="G174">
        <f t="shared" si="8"/>
        <v>0.23333333333333334</v>
      </c>
      <c r="I174">
        <f t="shared" si="7"/>
        <v>77010000038</v>
      </c>
    </row>
    <row r="175" spans="1:9" hidden="1" x14ac:dyDescent="0.35">
      <c r="A175" s="22">
        <v>77010000043</v>
      </c>
      <c r="B175" s="22">
        <v>1</v>
      </c>
      <c r="C175" s="23" t="s">
        <v>0</v>
      </c>
      <c r="D175" s="22">
        <v>5.97</v>
      </c>
      <c r="E175" s="39">
        <v>14</v>
      </c>
      <c r="F175">
        <f t="shared" si="6"/>
        <v>83.58</v>
      </c>
      <c r="G175">
        <f t="shared" si="8"/>
        <v>0.23333333333333334</v>
      </c>
      <c r="I175">
        <f t="shared" si="7"/>
        <v>77010000043</v>
      </c>
    </row>
    <row r="176" spans="1:9" hidden="1" x14ac:dyDescent="0.35">
      <c r="A176" s="22">
        <v>77010000081</v>
      </c>
      <c r="B176" s="22">
        <v>1</v>
      </c>
      <c r="C176" s="23" t="s">
        <v>0</v>
      </c>
      <c r="D176" s="22">
        <v>5.97</v>
      </c>
      <c r="E176" s="39">
        <v>14</v>
      </c>
      <c r="F176">
        <f t="shared" si="6"/>
        <v>83.58</v>
      </c>
      <c r="G176">
        <f t="shared" si="8"/>
        <v>0.23333333333333334</v>
      </c>
      <c r="I176">
        <f t="shared" si="7"/>
        <v>77010000081</v>
      </c>
    </row>
    <row r="177" spans="1:9" hidden="1" x14ac:dyDescent="0.35">
      <c r="A177" s="22">
        <v>77010000016</v>
      </c>
      <c r="B177" s="22">
        <v>1</v>
      </c>
      <c r="C177" s="23" t="s">
        <v>0</v>
      </c>
      <c r="D177" s="22">
        <v>5.97</v>
      </c>
      <c r="E177" s="39">
        <v>14</v>
      </c>
      <c r="F177">
        <f t="shared" si="6"/>
        <v>83.58</v>
      </c>
      <c r="G177">
        <f t="shared" si="8"/>
        <v>0.23333333333333334</v>
      </c>
      <c r="I177">
        <f t="shared" si="7"/>
        <v>77010000016</v>
      </c>
    </row>
    <row r="178" spans="1:9" hidden="1" x14ac:dyDescent="0.35">
      <c r="A178" s="22">
        <v>77010000023</v>
      </c>
      <c r="B178" s="22">
        <v>1</v>
      </c>
      <c r="C178" s="23" t="s">
        <v>0</v>
      </c>
      <c r="D178" s="22">
        <v>5.97</v>
      </c>
      <c r="E178" s="39">
        <v>14</v>
      </c>
      <c r="F178">
        <f t="shared" si="6"/>
        <v>83.58</v>
      </c>
      <c r="G178">
        <f t="shared" si="8"/>
        <v>0.23333333333333334</v>
      </c>
      <c r="I178">
        <f t="shared" si="7"/>
        <v>77010000023</v>
      </c>
    </row>
    <row r="179" spans="1:9" hidden="1" x14ac:dyDescent="0.35">
      <c r="A179" s="22">
        <v>77010000012</v>
      </c>
      <c r="B179" s="22">
        <v>1</v>
      </c>
      <c r="C179" s="23" t="s">
        <v>0</v>
      </c>
      <c r="D179" s="22">
        <v>5.97</v>
      </c>
      <c r="E179" s="39">
        <v>14</v>
      </c>
      <c r="F179">
        <f t="shared" si="6"/>
        <v>83.58</v>
      </c>
      <c r="G179">
        <f t="shared" si="8"/>
        <v>0.23333333333333334</v>
      </c>
      <c r="I179">
        <f t="shared" si="7"/>
        <v>77010000012</v>
      </c>
    </row>
    <row r="180" spans="1:9" hidden="1" x14ac:dyDescent="0.35">
      <c r="A180" s="22">
        <v>77010000024</v>
      </c>
      <c r="B180" s="22">
        <v>1</v>
      </c>
      <c r="C180" s="23" t="s">
        <v>0</v>
      </c>
      <c r="D180" s="22">
        <v>5.97</v>
      </c>
      <c r="E180" s="39">
        <v>14</v>
      </c>
      <c r="F180">
        <f t="shared" si="6"/>
        <v>83.58</v>
      </c>
      <c r="G180">
        <f t="shared" si="8"/>
        <v>0.23333333333333334</v>
      </c>
      <c r="I180">
        <f t="shared" si="7"/>
        <v>77010000024</v>
      </c>
    </row>
    <row r="181" spans="1:9" hidden="1" x14ac:dyDescent="0.35">
      <c r="A181" s="22">
        <v>77010000047</v>
      </c>
      <c r="B181" s="22">
        <v>1</v>
      </c>
      <c r="C181" s="23" t="s">
        <v>0</v>
      </c>
      <c r="D181" s="22">
        <v>6.39</v>
      </c>
      <c r="E181" s="39">
        <v>15</v>
      </c>
      <c r="F181">
        <f t="shared" si="6"/>
        <v>95.85</v>
      </c>
      <c r="G181">
        <f t="shared" si="8"/>
        <v>0.25</v>
      </c>
      <c r="I181">
        <f t="shared" si="7"/>
        <v>77010000047</v>
      </c>
    </row>
    <row r="182" spans="1:9" x14ac:dyDescent="0.35">
      <c r="A182" s="22">
        <v>77010000055</v>
      </c>
      <c r="B182" s="22">
        <v>1</v>
      </c>
      <c r="C182" s="23" t="s">
        <v>0</v>
      </c>
      <c r="D182" s="22">
        <v>6.39</v>
      </c>
      <c r="E182" s="39">
        <v>15</v>
      </c>
      <c r="F182">
        <f t="shared" si="6"/>
        <v>95.85</v>
      </c>
      <c r="G182">
        <f t="shared" si="8"/>
        <v>0.25</v>
      </c>
      <c r="I182">
        <f t="shared" si="7"/>
        <v>77010000055</v>
      </c>
    </row>
    <row r="183" spans="1:9" hidden="1" x14ac:dyDescent="0.35">
      <c r="A183" s="22">
        <v>77010000056</v>
      </c>
      <c r="B183" s="22">
        <v>1</v>
      </c>
      <c r="C183" s="23" t="s">
        <v>0</v>
      </c>
      <c r="D183" s="22">
        <v>6.39</v>
      </c>
      <c r="E183" s="39">
        <v>15</v>
      </c>
      <c r="F183">
        <f t="shared" si="6"/>
        <v>95.85</v>
      </c>
      <c r="G183">
        <f t="shared" si="8"/>
        <v>0.25</v>
      </c>
      <c r="I183">
        <f t="shared" si="7"/>
        <v>77010000056</v>
      </c>
    </row>
    <row r="184" spans="1:9" hidden="1" x14ac:dyDescent="0.35">
      <c r="A184" s="22">
        <v>77010000042</v>
      </c>
      <c r="B184" s="22">
        <v>1</v>
      </c>
      <c r="C184" s="23" t="s">
        <v>0</v>
      </c>
      <c r="D184" s="22">
        <v>6.39</v>
      </c>
      <c r="E184" s="39">
        <v>15</v>
      </c>
      <c r="F184">
        <f t="shared" si="6"/>
        <v>95.85</v>
      </c>
      <c r="G184">
        <f t="shared" si="8"/>
        <v>0.25</v>
      </c>
      <c r="I184">
        <f t="shared" si="7"/>
        <v>77010000042</v>
      </c>
    </row>
    <row r="185" spans="1:9" x14ac:dyDescent="0.35">
      <c r="A185" s="22">
        <v>77010000055</v>
      </c>
      <c r="B185" s="22">
        <v>1</v>
      </c>
      <c r="C185" s="23" t="s">
        <v>0</v>
      </c>
      <c r="D185" s="22">
        <v>6.39</v>
      </c>
      <c r="E185" s="39">
        <v>15</v>
      </c>
      <c r="F185">
        <f t="shared" si="6"/>
        <v>95.85</v>
      </c>
      <c r="G185">
        <f t="shared" si="8"/>
        <v>0.25</v>
      </c>
      <c r="I185">
        <f t="shared" si="7"/>
        <v>77010000055</v>
      </c>
    </row>
    <row r="186" spans="1:9" hidden="1" x14ac:dyDescent="0.35">
      <c r="A186" s="22">
        <v>77010000059</v>
      </c>
      <c r="B186" s="22">
        <v>1</v>
      </c>
      <c r="C186" s="23" t="s">
        <v>0</v>
      </c>
      <c r="D186" s="22">
        <v>6.39</v>
      </c>
      <c r="E186" s="39">
        <v>15</v>
      </c>
      <c r="F186">
        <f t="shared" si="6"/>
        <v>95.85</v>
      </c>
      <c r="G186">
        <f t="shared" si="8"/>
        <v>0.25</v>
      </c>
      <c r="I186">
        <f t="shared" si="7"/>
        <v>77010000059</v>
      </c>
    </row>
    <row r="187" spans="1:9" hidden="1" x14ac:dyDescent="0.35">
      <c r="A187" s="22">
        <v>77010000080</v>
      </c>
      <c r="B187" s="22">
        <v>1</v>
      </c>
      <c r="C187" s="23" t="s">
        <v>0</v>
      </c>
      <c r="D187" s="22">
        <v>6.39</v>
      </c>
      <c r="E187" s="39">
        <v>15</v>
      </c>
      <c r="F187">
        <f t="shared" si="6"/>
        <v>95.85</v>
      </c>
      <c r="G187">
        <f t="shared" si="8"/>
        <v>0.25</v>
      </c>
      <c r="I187">
        <f t="shared" si="7"/>
        <v>77010000080</v>
      </c>
    </row>
    <row r="188" spans="1:9" hidden="1" x14ac:dyDescent="0.35">
      <c r="A188" s="22">
        <v>77010000087</v>
      </c>
      <c r="B188" s="22">
        <v>1</v>
      </c>
      <c r="C188" s="23" t="s">
        <v>0</v>
      </c>
      <c r="D188" s="22">
        <v>6.39</v>
      </c>
      <c r="E188" s="39">
        <v>15</v>
      </c>
      <c r="F188">
        <f t="shared" si="6"/>
        <v>95.85</v>
      </c>
      <c r="G188">
        <f t="shared" si="8"/>
        <v>0.25</v>
      </c>
      <c r="I188">
        <f t="shared" si="7"/>
        <v>77010000087</v>
      </c>
    </row>
    <row r="189" spans="1:9" hidden="1" x14ac:dyDescent="0.35">
      <c r="A189" s="22">
        <v>77010000096</v>
      </c>
      <c r="B189" s="22">
        <v>1</v>
      </c>
      <c r="C189" s="23" t="s">
        <v>0</v>
      </c>
      <c r="D189" s="22">
        <v>6.39</v>
      </c>
      <c r="E189" s="39">
        <v>15</v>
      </c>
      <c r="F189">
        <f t="shared" si="6"/>
        <v>95.85</v>
      </c>
      <c r="G189">
        <f t="shared" si="8"/>
        <v>0.25</v>
      </c>
      <c r="I189">
        <f t="shared" si="7"/>
        <v>77010000096</v>
      </c>
    </row>
    <row r="190" spans="1:9" hidden="1" x14ac:dyDescent="0.35">
      <c r="A190" s="22">
        <v>77010000029</v>
      </c>
      <c r="B190" s="22">
        <v>1</v>
      </c>
      <c r="C190" s="23" t="s">
        <v>0</v>
      </c>
      <c r="D190" s="22">
        <v>6.39</v>
      </c>
      <c r="E190" s="39">
        <v>15</v>
      </c>
      <c r="F190">
        <f t="shared" si="6"/>
        <v>95.85</v>
      </c>
      <c r="G190">
        <f t="shared" si="8"/>
        <v>0.25</v>
      </c>
      <c r="I190">
        <f t="shared" si="7"/>
        <v>77010000029</v>
      </c>
    </row>
    <row r="191" spans="1:9" hidden="1" x14ac:dyDescent="0.35">
      <c r="A191" s="22">
        <v>77010000021</v>
      </c>
      <c r="B191" s="22">
        <v>1</v>
      </c>
      <c r="C191" s="23" t="s">
        <v>0</v>
      </c>
      <c r="D191" s="22">
        <v>6.39</v>
      </c>
      <c r="E191" s="39">
        <v>15</v>
      </c>
      <c r="F191">
        <f t="shared" si="6"/>
        <v>95.85</v>
      </c>
      <c r="G191">
        <f t="shared" si="8"/>
        <v>0.25</v>
      </c>
      <c r="I191">
        <f t="shared" si="7"/>
        <v>77010000021</v>
      </c>
    </row>
    <row r="192" spans="1:9" hidden="1" x14ac:dyDescent="0.35">
      <c r="A192" s="22">
        <v>77010000043</v>
      </c>
      <c r="B192" s="22">
        <v>1</v>
      </c>
      <c r="C192" s="23" t="s">
        <v>0</v>
      </c>
      <c r="D192" s="22">
        <v>6.39</v>
      </c>
      <c r="E192" s="39">
        <v>15</v>
      </c>
      <c r="F192">
        <f t="shared" si="6"/>
        <v>95.85</v>
      </c>
      <c r="G192">
        <f t="shared" si="8"/>
        <v>0.25</v>
      </c>
      <c r="I192">
        <f t="shared" si="7"/>
        <v>77010000043</v>
      </c>
    </row>
    <row r="193" spans="1:9" hidden="1" x14ac:dyDescent="0.35">
      <c r="A193" s="22">
        <v>77010000072</v>
      </c>
      <c r="B193" s="22">
        <v>1</v>
      </c>
      <c r="C193" s="23" t="s">
        <v>0</v>
      </c>
      <c r="D193" s="22">
        <v>6.39</v>
      </c>
      <c r="E193" s="39">
        <v>15</v>
      </c>
      <c r="F193">
        <f t="shared" si="6"/>
        <v>95.85</v>
      </c>
      <c r="G193">
        <f t="shared" si="8"/>
        <v>0.25</v>
      </c>
      <c r="I193">
        <f t="shared" si="7"/>
        <v>77010000072</v>
      </c>
    </row>
    <row r="194" spans="1:9" hidden="1" x14ac:dyDescent="0.35">
      <c r="A194" s="22">
        <v>77010000077</v>
      </c>
      <c r="B194" s="22">
        <v>1</v>
      </c>
      <c r="C194" s="23" t="s">
        <v>0</v>
      </c>
      <c r="D194" s="22">
        <v>6.39</v>
      </c>
      <c r="E194" s="39">
        <v>15</v>
      </c>
      <c r="F194">
        <f t="shared" ref="F194:F257" si="9">D194*E194</f>
        <v>95.85</v>
      </c>
      <c r="G194">
        <f t="shared" si="8"/>
        <v>0.25</v>
      </c>
      <c r="I194">
        <f t="shared" ref="I194:I257" si="10">_xlfn.UNIQUE(A194,$A:$A,A194)</f>
        <v>77010000077</v>
      </c>
    </row>
    <row r="195" spans="1:9" hidden="1" x14ac:dyDescent="0.35">
      <c r="A195" s="22">
        <v>77010000049</v>
      </c>
      <c r="B195" s="22">
        <v>1</v>
      </c>
      <c r="C195" s="23" t="s">
        <v>0</v>
      </c>
      <c r="D195" s="22">
        <v>6.82</v>
      </c>
      <c r="E195" s="39">
        <v>16</v>
      </c>
      <c r="F195">
        <f t="shared" si="9"/>
        <v>109.12</v>
      </c>
      <c r="G195">
        <f t="shared" ref="G195:G258" si="11">E195/60</f>
        <v>0.26666666666666666</v>
      </c>
      <c r="I195">
        <f t="shared" si="10"/>
        <v>77010000049</v>
      </c>
    </row>
    <row r="196" spans="1:9" hidden="1" x14ac:dyDescent="0.35">
      <c r="A196" s="22">
        <v>77010000051</v>
      </c>
      <c r="B196" s="22">
        <v>1</v>
      </c>
      <c r="C196" s="23" t="s">
        <v>0</v>
      </c>
      <c r="D196" s="22">
        <v>6.82</v>
      </c>
      <c r="E196" s="39">
        <v>16</v>
      </c>
      <c r="F196">
        <f t="shared" si="9"/>
        <v>109.12</v>
      </c>
      <c r="G196">
        <f t="shared" si="11"/>
        <v>0.26666666666666666</v>
      </c>
      <c r="I196">
        <f t="shared" si="10"/>
        <v>77010000051</v>
      </c>
    </row>
    <row r="197" spans="1:9" hidden="1" x14ac:dyDescent="0.35">
      <c r="A197" s="22">
        <v>77010000071</v>
      </c>
      <c r="B197" s="22">
        <v>1</v>
      </c>
      <c r="C197" s="23" t="s">
        <v>0</v>
      </c>
      <c r="D197" s="22">
        <v>6.82</v>
      </c>
      <c r="E197" s="39">
        <v>16</v>
      </c>
      <c r="F197">
        <f t="shared" si="9"/>
        <v>109.12</v>
      </c>
      <c r="G197">
        <f t="shared" si="11"/>
        <v>0.26666666666666666</v>
      </c>
      <c r="I197">
        <f t="shared" si="10"/>
        <v>77010000071</v>
      </c>
    </row>
    <row r="198" spans="1:9" hidden="1" x14ac:dyDescent="0.35">
      <c r="A198" s="22">
        <v>77010000072</v>
      </c>
      <c r="B198" s="22">
        <v>1</v>
      </c>
      <c r="C198" s="23" t="s">
        <v>0</v>
      </c>
      <c r="D198" s="22">
        <v>6.82</v>
      </c>
      <c r="E198" s="39">
        <v>16</v>
      </c>
      <c r="F198">
        <f t="shared" si="9"/>
        <v>109.12</v>
      </c>
      <c r="G198">
        <f t="shared" si="11"/>
        <v>0.26666666666666666</v>
      </c>
      <c r="I198">
        <f t="shared" si="10"/>
        <v>77010000072</v>
      </c>
    </row>
    <row r="199" spans="1:9" hidden="1" x14ac:dyDescent="0.35">
      <c r="A199" s="22">
        <v>77010000028</v>
      </c>
      <c r="B199" s="22">
        <v>1</v>
      </c>
      <c r="C199" s="23" t="s">
        <v>0</v>
      </c>
      <c r="D199" s="22">
        <v>6.82</v>
      </c>
      <c r="E199" s="39">
        <v>16</v>
      </c>
      <c r="F199">
        <f t="shared" si="9"/>
        <v>109.12</v>
      </c>
      <c r="G199">
        <f t="shared" si="11"/>
        <v>0.26666666666666666</v>
      </c>
      <c r="I199">
        <f t="shared" si="10"/>
        <v>77010000028</v>
      </c>
    </row>
    <row r="200" spans="1:9" hidden="1" x14ac:dyDescent="0.35">
      <c r="A200" s="22">
        <v>77010000030</v>
      </c>
      <c r="B200" s="22">
        <v>1</v>
      </c>
      <c r="C200" s="23" t="s">
        <v>1</v>
      </c>
      <c r="D200" s="22">
        <v>14.87</v>
      </c>
      <c r="E200" s="39">
        <v>16</v>
      </c>
      <c r="F200">
        <f t="shared" si="9"/>
        <v>237.92</v>
      </c>
      <c r="G200">
        <f t="shared" si="11"/>
        <v>0.26666666666666666</v>
      </c>
      <c r="I200">
        <f t="shared" si="10"/>
        <v>77010000030</v>
      </c>
    </row>
    <row r="201" spans="1:9" hidden="1" x14ac:dyDescent="0.35">
      <c r="A201" s="22">
        <v>77010000032</v>
      </c>
      <c r="B201" s="22">
        <v>1</v>
      </c>
      <c r="C201" s="23" t="s">
        <v>0</v>
      </c>
      <c r="D201" s="22">
        <v>6.82</v>
      </c>
      <c r="E201" s="39">
        <v>16</v>
      </c>
      <c r="F201">
        <f t="shared" si="9"/>
        <v>109.12</v>
      </c>
      <c r="G201">
        <f t="shared" si="11"/>
        <v>0.26666666666666666</v>
      </c>
      <c r="I201">
        <f t="shared" si="10"/>
        <v>77010000032</v>
      </c>
    </row>
    <row r="202" spans="1:9" hidden="1" x14ac:dyDescent="0.35">
      <c r="A202" s="22">
        <v>77010000004</v>
      </c>
      <c r="B202" s="22">
        <v>1</v>
      </c>
      <c r="C202" s="23" t="s">
        <v>0</v>
      </c>
      <c r="D202" s="22">
        <v>6.82</v>
      </c>
      <c r="E202" s="39">
        <v>16</v>
      </c>
      <c r="F202">
        <f t="shared" si="9"/>
        <v>109.12</v>
      </c>
      <c r="G202">
        <f t="shared" si="11"/>
        <v>0.26666666666666666</v>
      </c>
      <c r="I202">
        <f t="shared" si="10"/>
        <v>77010000004</v>
      </c>
    </row>
    <row r="203" spans="1:9" hidden="1" x14ac:dyDescent="0.35">
      <c r="A203" s="22">
        <v>77010000027</v>
      </c>
      <c r="B203" s="22">
        <v>1</v>
      </c>
      <c r="C203" s="23" t="s">
        <v>0</v>
      </c>
      <c r="D203" s="22">
        <v>6.82</v>
      </c>
      <c r="E203" s="39">
        <v>16</v>
      </c>
      <c r="F203">
        <f t="shared" si="9"/>
        <v>109.12</v>
      </c>
      <c r="G203">
        <f t="shared" si="11"/>
        <v>0.26666666666666666</v>
      </c>
      <c r="I203">
        <f t="shared" si="10"/>
        <v>77010000027</v>
      </c>
    </row>
    <row r="204" spans="1:9" hidden="1" x14ac:dyDescent="0.35">
      <c r="A204" s="22">
        <v>77010000084</v>
      </c>
      <c r="B204" s="22">
        <v>1</v>
      </c>
      <c r="C204" s="23" t="s">
        <v>0</v>
      </c>
      <c r="D204" s="22">
        <v>6.82</v>
      </c>
      <c r="E204" s="39">
        <v>16</v>
      </c>
      <c r="F204">
        <f t="shared" si="9"/>
        <v>109.12</v>
      </c>
      <c r="G204">
        <f t="shared" si="11"/>
        <v>0.26666666666666666</v>
      </c>
      <c r="I204">
        <f t="shared" si="10"/>
        <v>77010000084</v>
      </c>
    </row>
    <row r="205" spans="1:9" hidden="1" x14ac:dyDescent="0.35">
      <c r="A205" s="22">
        <v>77010000053</v>
      </c>
      <c r="B205" s="22">
        <v>1</v>
      </c>
      <c r="C205" s="23" t="s">
        <v>0</v>
      </c>
      <c r="D205" s="22">
        <v>7.25</v>
      </c>
      <c r="E205" s="39">
        <v>17</v>
      </c>
      <c r="F205">
        <f t="shared" si="9"/>
        <v>123.25</v>
      </c>
      <c r="G205">
        <f t="shared" si="11"/>
        <v>0.28333333333333333</v>
      </c>
      <c r="I205">
        <f t="shared" si="10"/>
        <v>77010000053</v>
      </c>
    </row>
    <row r="206" spans="1:9" hidden="1" x14ac:dyDescent="0.35">
      <c r="A206" s="22">
        <v>77010000001</v>
      </c>
      <c r="B206" s="22">
        <v>1</v>
      </c>
      <c r="C206" s="23" t="s">
        <v>1</v>
      </c>
      <c r="D206" s="22">
        <v>14.87</v>
      </c>
      <c r="E206" s="39">
        <v>17</v>
      </c>
      <c r="F206">
        <f t="shared" si="9"/>
        <v>252.79</v>
      </c>
      <c r="G206">
        <f t="shared" si="11"/>
        <v>0.28333333333333333</v>
      </c>
      <c r="I206">
        <f t="shared" si="10"/>
        <v>77010000001</v>
      </c>
    </row>
    <row r="207" spans="1:9" hidden="1" x14ac:dyDescent="0.35">
      <c r="A207" s="22">
        <v>77010000008</v>
      </c>
      <c r="B207" s="22">
        <v>1</v>
      </c>
      <c r="C207" s="23" t="s">
        <v>2</v>
      </c>
      <c r="D207" s="22">
        <v>14.87</v>
      </c>
      <c r="E207" s="39">
        <v>17</v>
      </c>
      <c r="F207">
        <f t="shared" si="9"/>
        <v>252.79</v>
      </c>
      <c r="G207">
        <f t="shared" si="11"/>
        <v>0.28333333333333333</v>
      </c>
      <c r="I207">
        <f t="shared" si="10"/>
        <v>77010000008</v>
      </c>
    </row>
    <row r="208" spans="1:9" hidden="1" x14ac:dyDescent="0.35">
      <c r="A208" s="22">
        <v>77010000019</v>
      </c>
      <c r="B208" s="22">
        <v>1</v>
      </c>
      <c r="C208" s="23" t="s">
        <v>0</v>
      </c>
      <c r="D208" s="22">
        <v>7.25</v>
      </c>
      <c r="E208" s="39">
        <v>17</v>
      </c>
      <c r="F208">
        <f t="shared" si="9"/>
        <v>123.25</v>
      </c>
      <c r="G208">
        <f t="shared" si="11"/>
        <v>0.28333333333333333</v>
      </c>
      <c r="I208">
        <f t="shared" si="10"/>
        <v>77010000019</v>
      </c>
    </row>
    <row r="209" spans="1:9" hidden="1" x14ac:dyDescent="0.35">
      <c r="A209" s="22">
        <v>77010000038</v>
      </c>
      <c r="B209" s="22">
        <v>1</v>
      </c>
      <c r="C209" s="23" t="s">
        <v>0</v>
      </c>
      <c r="D209" s="22">
        <v>7.25</v>
      </c>
      <c r="E209" s="39">
        <v>17</v>
      </c>
      <c r="F209">
        <f t="shared" si="9"/>
        <v>123.25</v>
      </c>
      <c r="G209">
        <f t="shared" si="11"/>
        <v>0.28333333333333333</v>
      </c>
      <c r="I209">
        <f t="shared" si="10"/>
        <v>77010000038</v>
      </c>
    </row>
    <row r="210" spans="1:9" hidden="1" x14ac:dyDescent="0.35">
      <c r="A210" s="22">
        <v>77010000028</v>
      </c>
      <c r="B210" s="22">
        <v>1</v>
      </c>
      <c r="C210" s="23" t="s">
        <v>0</v>
      </c>
      <c r="D210" s="22">
        <v>7.25</v>
      </c>
      <c r="E210" s="39">
        <v>17</v>
      </c>
      <c r="F210">
        <f t="shared" si="9"/>
        <v>123.25</v>
      </c>
      <c r="G210">
        <f t="shared" si="11"/>
        <v>0.28333333333333333</v>
      </c>
      <c r="I210">
        <f t="shared" si="10"/>
        <v>77010000028</v>
      </c>
    </row>
    <row r="211" spans="1:9" hidden="1" x14ac:dyDescent="0.35">
      <c r="A211" s="22">
        <v>77010000037</v>
      </c>
      <c r="B211" s="22">
        <v>1</v>
      </c>
      <c r="C211" s="23" t="s">
        <v>0</v>
      </c>
      <c r="D211" s="22">
        <v>7.25</v>
      </c>
      <c r="E211" s="39">
        <v>17</v>
      </c>
      <c r="F211">
        <f t="shared" si="9"/>
        <v>123.25</v>
      </c>
      <c r="G211">
        <f t="shared" si="11"/>
        <v>0.28333333333333333</v>
      </c>
      <c r="I211">
        <f t="shared" si="10"/>
        <v>77010000037</v>
      </c>
    </row>
    <row r="212" spans="1:9" hidden="1" x14ac:dyDescent="0.35">
      <c r="A212" s="22">
        <v>77010000079</v>
      </c>
      <c r="B212" s="22">
        <v>1</v>
      </c>
      <c r="C212" s="23" t="s">
        <v>2</v>
      </c>
      <c r="D212" s="22">
        <v>14.87</v>
      </c>
      <c r="E212" s="39">
        <v>18</v>
      </c>
      <c r="F212">
        <f t="shared" si="9"/>
        <v>267.65999999999997</v>
      </c>
      <c r="G212">
        <f t="shared" si="11"/>
        <v>0.3</v>
      </c>
      <c r="I212">
        <f t="shared" si="10"/>
        <v>77010000079</v>
      </c>
    </row>
    <row r="213" spans="1:9" hidden="1" x14ac:dyDescent="0.35">
      <c r="A213" s="22">
        <v>77010000024</v>
      </c>
      <c r="B213" s="22">
        <v>1</v>
      </c>
      <c r="C213" s="23" t="s">
        <v>0</v>
      </c>
      <c r="D213" s="22">
        <v>7.67</v>
      </c>
      <c r="E213" s="39">
        <v>18</v>
      </c>
      <c r="F213">
        <f t="shared" si="9"/>
        <v>138.06</v>
      </c>
      <c r="G213">
        <f t="shared" si="11"/>
        <v>0.3</v>
      </c>
      <c r="I213">
        <f t="shared" si="10"/>
        <v>77010000024</v>
      </c>
    </row>
    <row r="214" spans="1:9" hidden="1" x14ac:dyDescent="0.35">
      <c r="A214" s="22">
        <v>77010000041</v>
      </c>
      <c r="B214" s="22">
        <v>1</v>
      </c>
      <c r="C214" s="23" t="s">
        <v>0</v>
      </c>
      <c r="D214" s="22">
        <v>7.67</v>
      </c>
      <c r="E214" s="39">
        <v>18</v>
      </c>
      <c r="F214">
        <f t="shared" si="9"/>
        <v>138.06</v>
      </c>
      <c r="G214">
        <f t="shared" si="11"/>
        <v>0.3</v>
      </c>
      <c r="I214">
        <f t="shared" si="10"/>
        <v>77010000041</v>
      </c>
    </row>
    <row r="215" spans="1:9" hidden="1" x14ac:dyDescent="0.35">
      <c r="A215" s="22">
        <v>77010000022</v>
      </c>
      <c r="B215" s="22">
        <v>1</v>
      </c>
      <c r="C215" s="23" t="s">
        <v>0</v>
      </c>
      <c r="D215" s="22">
        <v>7.67</v>
      </c>
      <c r="E215" s="39">
        <v>18</v>
      </c>
      <c r="F215">
        <f t="shared" si="9"/>
        <v>138.06</v>
      </c>
      <c r="G215">
        <f t="shared" si="11"/>
        <v>0.3</v>
      </c>
      <c r="I215">
        <f t="shared" si="10"/>
        <v>77010000022</v>
      </c>
    </row>
    <row r="216" spans="1:9" hidden="1" x14ac:dyDescent="0.35">
      <c r="A216" s="22">
        <v>77010000033</v>
      </c>
      <c r="B216" s="22">
        <v>1</v>
      </c>
      <c r="C216" s="23" t="s">
        <v>1</v>
      </c>
      <c r="D216" s="22">
        <v>14.87</v>
      </c>
      <c r="E216" s="39">
        <v>18</v>
      </c>
      <c r="F216">
        <f t="shared" si="9"/>
        <v>267.65999999999997</v>
      </c>
      <c r="G216">
        <f t="shared" si="11"/>
        <v>0.3</v>
      </c>
      <c r="I216">
        <f t="shared" si="10"/>
        <v>77010000033</v>
      </c>
    </row>
    <row r="217" spans="1:9" hidden="1" x14ac:dyDescent="0.35">
      <c r="A217" s="22">
        <v>77010000058</v>
      </c>
      <c r="B217" s="22">
        <v>1</v>
      </c>
      <c r="C217" s="23" t="s">
        <v>0</v>
      </c>
      <c r="D217" s="22">
        <v>7.67</v>
      </c>
      <c r="E217" s="39">
        <v>18</v>
      </c>
      <c r="F217">
        <f t="shared" si="9"/>
        <v>138.06</v>
      </c>
      <c r="G217">
        <f t="shared" si="11"/>
        <v>0.3</v>
      </c>
      <c r="I217">
        <f t="shared" si="10"/>
        <v>77010000058</v>
      </c>
    </row>
    <row r="218" spans="1:9" hidden="1" x14ac:dyDescent="0.35">
      <c r="A218" s="22">
        <v>77010000062</v>
      </c>
      <c r="B218" s="22">
        <v>1</v>
      </c>
      <c r="C218" s="23" t="s">
        <v>0</v>
      </c>
      <c r="D218" s="22">
        <v>8.1</v>
      </c>
      <c r="E218" s="39">
        <v>19</v>
      </c>
      <c r="F218">
        <f t="shared" si="9"/>
        <v>153.9</v>
      </c>
      <c r="G218">
        <f t="shared" si="11"/>
        <v>0.31666666666666665</v>
      </c>
      <c r="I218">
        <f t="shared" si="10"/>
        <v>77010000062</v>
      </c>
    </row>
    <row r="219" spans="1:9" hidden="1" x14ac:dyDescent="0.35">
      <c r="A219" s="22">
        <v>77010000069</v>
      </c>
      <c r="B219" s="22">
        <v>1</v>
      </c>
      <c r="C219" s="23" t="s">
        <v>4</v>
      </c>
      <c r="D219" s="22">
        <v>14.01</v>
      </c>
      <c r="E219" s="39">
        <v>19</v>
      </c>
      <c r="F219">
        <f t="shared" si="9"/>
        <v>266.19</v>
      </c>
      <c r="G219">
        <f t="shared" si="11"/>
        <v>0.31666666666666665</v>
      </c>
      <c r="I219">
        <f t="shared" si="10"/>
        <v>77010000069</v>
      </c>
    </row>
    <row r="220" spans="1:9" hidden="1" x14ac:dyDescent="0.35">
      <c r="A220" s="22">
        <v>77010000070</v>
      </c>
      <c r="B220" s="22">
        <v>1</v>
      </c>
      <c r="C220" s="23" t="s">
        <v>4</v>
      </c>
      <c r="D220" s="22">
        <v>0</v>
      </c>
      <c r="E220" s="39">
        <v>19</v>
      </c>
      <c r="F220">
        <f t="shared" si="9"/>
        <v>0</v>
      </c>
      <c r="G220">
        <f t="shared" si="11"/>
        <v>0.31666666666666665</v>
      </c>
      <c r="I220">
        <f t="shared" si="10"/>
        <v>77010000070</v>
      </c>
    </row>
    <row r="221" spans="1:9" hidden="1" x14ac:dyDescent="0.35">
      <c r="A221" s="22">
        <v>77010000054</v>
      </c>
      <c r="B221" s="22">
        <v>1</v>
      </c>
      <c r="C221" s="23" t="s">
        <v>0</v>
      </c>
      <c r="D221" s="22">
        <v>8.1</v>
      </c>
      <c r="E221" s="39">
        <v>19</v>
      </c>
      <c r="F221">
        <f t="shared" si="9"/>
        <v>153.9</v>
      </c>
      <c r="G221">
        <f t="shared" si="11"/>
        <v>0.31666666666666665</v>
      </c>
      <c r="I221">
        <f t="shared" si="10"/>
        <v>77010000054</v>
      </c>
    </row>
    <row r="222" spans="1:9" hidden="1" x14ac:dyDescent="0.35">
      <c r="A222" s="22">
        <v>77010000010</v>
      </c>
      <c r="B222" s="22">
        <v>1</v>
      </c>
      <c r="C222" s="23" t="s">
        <v>0</v>
      </c>
      <c r="D222" s="22">
        <v>8.52</v>
      </c>
      <c r="E222" s="39">
        <v>20</v>
      </c>
      <c r="F222">
        <f t="shared" si="9"/>
        <v>170.39999999999998</v>
      </c>
      <c r="G222">
        <f t="shared" si="11"/>
        <v>0.33333333333333331</v>
      </c>
      <c r="I222">
        <f t="shared" si="10"/>
        <v>77010000010</v>
      </c>
    </row>
    <row r="223" spans="1:9" hidden="1" x14ac:dyDescent="0.35">
      <c r="A223" s="22">
        <v>77010000012</v>
      </c>
      <c r="B223" s="22">
        <v>1</v>
      </c>
      <c r="C223" s="23" t="s">
        <v>4</v>
      </c>
      <c r="D223" s="22">
        <v>0</v>
      </c>
      <c r="E223" s="39">
        <v>20</v>
      </c>
      <c r="F223">
        <f t="shared" si="9"/>
        <v>0</v>
      </c>
      <c r="G223">
        <f t="shared" si="11"/>
        <v>0.33333333333333331</v>
      </c>
      <c r="I223">
        <f t="shared" si="10"/>
        <v>77010000012</v>
      </c>
    </row>
    <row r="224" spans="1:9" hidden="1" x14ac:dyDescent="0.35">
      <c r="A224" s="22">
        <v>77010000026</v>
      </c>
      <c r="B224" s="22">
        <v>1</v>
      </c>
      <c r="C224" s="23" t="s">
        <v>0</v>
      </c>
      <c r="D224" s="22">
        <v>8.52</v>
      </c>
      <c r="E224" s="39">
        <v>20</v>
      </c>
      <c r="F224">
        <f t="shared" si="9"/>
        <v>170.39999999999998</v>
      </c>
      <c r="G224">
        <f t="shared" si="11"/>
        <v>0.33333333333333331</v>
      </c>
      <c r="I224">
        <f t="shared" si="10"/>
        <v>77010000026</v>
      </c>
    </row>
    <row r="225" spans="1:9" hidden="1" x14ac:dyDescent="0.35">
      <c r="A225" s="22">
        <v>77010000035</v>
      </c>
      <c r="B225" s="22">
        <v>1</v>
      </c>
      <c r="C225" s="23" t="s">
        <v>0</v>
      </c>
      <c r="D225" s="22">
        <v>8.52</v>
      </c>
      <c r="E225" s="39">
        <v>20</v>
      </c>
      <c r="F225">
        <f t="shared" si="9"/>
        <v>170.39999999999998</v>
      </c>
      <c r="G225">
        <f t="shared" si="11"/>
        <v>0.33333333333333331</v>
      </c>
      <c r="I225">
        <f t="shared" si="10"/>
        <v>77010000035</v>
      </c>
    </row>
    <row r="226" spans="1:9" hidden="1" x14ac:dyDescent="0.35">
      <c r="A226" s="22">
        <v>77010000077</v>
      </c>
      <c r="B226" s="22">
        <v>1</v>
      </c>
      <c r="C226" s="23" t="s">
        <v>0</v>
      </c>
      <c r="D226" s="22">
        <v>8.52</v>
      </c>
      <c r="E226" s="39">
        <v>20</v>
      </c>
      <c r="F226">
        <f t="shared" si="9"/>
        <v>170.39999999999998</v>
      </c>
      <c r="G226">
        <f t="shared" si="11"/>
        <v>0.33333333333333331</v>
      </c>
      <c r="I226">
        <f t="shared" si="10"/>
        <v>77010000077</v>
      </c>
    </row>
    <row r="227" spans="1:9" hidden="1" x14ac:dyDescent="0.35">
      <c r="A227" s="22">
        <v>77010000094</v>
      </c>
      <c r="B227" s="22">
        <v>1</v>
      </c>
      <c r="C227" s="23" t="s">
        <v>0</v>
      </c>
      <c r="D227" s="22">
        <v>8.9499999999999993</v>
      </c>
      <c r="E227" s="39">
        <v>21</v>
      </c>
      <c r="F227">
        <f t="shared" si="9"/>
        <v>187.95</v>
      </c>
      <c r="G227">
        <f t="shared" si="11"/>
        <v>0.35</v>
      </c>
      <c r="I227">
        <f t="shared" si="10"/>
        <v>77010000094</v>
      </c>
    </row>
    <row r="228" spans="1:9" hidden="1" x14ac:dyDescent="0.35">
      <c r="A228" s="22">
        <v>77010000013</v>
      </c>
      <c r="B228" s="22">
        <v>1</v>
      </c>
      <c r="C228" s="23" t="s">
        <v>0</v>
      </c>
      <c r="D228" s="22">
        <v>8.9499999999999993</v>
      </c>
      <c r="E228" s="39">
        <v>21</v>
      </c>
      <c r="F228">
        <f t="shared" si="9"/>
        <v>187.95</v>
      </c>
      <c r="G228">
        <f t="shared" si="11"/>
        <v>0.35</v>
      </c>
      <c r="I228">
        <f t="shared" si="10"/>
        <v>77010000013</v>
      </c>
    </row>
    <row r="229" spans="1:9" hidden="1" x14ac:dyDescent="0.35">
      <c r="A229" s="22">
        <v>77010000005</v>
      </c>
      <c r="B229" s="22">
        <v>1</v>
      </c>
      <c r="C229" s="23" t="s">
        <v>2</v>
      </c>
      <c r="D229" s="22">
        <v>22.3</v>
      </c>
      <c r="E229" s="39">
        <v>21</v>
      </c>
      <c r="F229">
        <f t="shared" si="9"/>
        <v>468.3</v>
      </c>
      <c r="G229">
        <f t="shared" si="11"/>
        <v>0.35</v>
      </c>
      <c r="I229">
        <f t="shared" si="10"/>
        <v>77010000005</v>
      </c>
    </row>
    <row r="230" spans="1:9" hidden="1" x14ac:dyDescent="0.35">
      <c r="A230" s="22">
        <v>77010000059</v>
      </c>
      <c r="B230" s="22">
        <v>1</v>
      </c>
      <c r="C230" s="23" t="s">
        <v>0</v>
      </c>
      <c r="D230" s="22">
        <v>8.9499999999999993</v>
      </c>
      <c r="E230" s="39">
        <v>21</v>
      </c>
      <c r="F230">
        <f t="shared" si="9"/>
        <v>187.95</v>
      </c>
      <c r="G230">
        <f t="shared" si="11"/>
        <v>0.35</v>
      </c>
      <c r="I230">
        <f t="shared" si="10"/>
        <v>77010000059</v>
      </c>
    </row>
    <row r="231" spans="1:9" hidden="1" x14ac:dyDescent="0.35">
      <c r="A231" s="22">
        <v>77010000082</v>
      </c>
      <c r="B231" s="22">
        <v>1</v>
      </c>
      <c r="C231" s="23" t="s">
        <v>0</v>
      </c>
      <c r="D231" s="22">
        <v>8.9499999999999993</v>
      </c>
      <c r="E231" s="39">
        <v>21</v>
      </c>
      <c r="F231">
        <f t="shared" si="9"/>
        <v>187.95</v>
      </c>
      <c r="G231">
        <f t="shared" si="11"/>
        <v>0.35</v>
      </c>
      <c r="I231">
        <f t="shared" si="10"/>
        <v>77010000082</v>
      </c>
    </row>
    <row r="232" spans="1:9" hidden="1" x14ac:dyDescent="0.35">
      <c r="A232" s="22">
        <v>77010000091</v>
      </c>
      <c r="B232" s="22">
        <v>1</v>
      </c>
      <c r="C232" s="23" t="s">
        <v>0</v>
      </c>
      <c r="D232" s="22">
        <v>9.3800000000000008</v>
      </c>
      <c r="E232" s="39">
        <v>22</v>
      </c>
      <c r="F232">
        <f t="shared" si="9"/>
        <v>206.36</v>
      </c>
      <c r="G232">
        <f t="shared" si="11"/>
        <v>0.36666666666666664</v>
      </c>
      <c r="I232">
        <f t="shared" si="10"/>
        <v>77010000091</v>
      </c>
    </row>
    <row r="233" spans="1:9" hidden="1" x14ac:dyDescent="0.35">
      <c r="A233" s="22">
        <v>77010000036</v>
      </c>
      <c r="B233" s="22">
        <v>1</v>
      </c>
      <c r="C233" s="23" t="s">
        <v>0</v>
      </c>
      <c r="D233" s="22">
        <v>9.3800000000000008</v>
      </c>
      <c r="E233" s="39">
        <v>22</v>
      </c>
      <c r="F233">
        <f t="shared" si="9"/>
        <v>206.36</v>
      </c>
      <c r="G233">
        <f t="shared" si="11"/>
        <v>0.36666666666666664</v>
      </c>
      <c r="I233">
        <f t="shared" si="10"/>
        <v>77010000036</v>
      </c>
    </row>
    <row r="234" spans="1:9" hidden="1" x14ac:dyDescent="0.35">
      <c r="A234" s="22">
        <v>77010000044</v>
      </c>
      <c r="B234" s="22">
        <v>1</v>
      </c>
      <c r="C234" s="23" t="s">
        <v>0</v>
      </c>
      <c r="D234" s="22">
        <v>2.5</v>
      </c>
      <c r="E234" s="39">
        <v>22</v>
      </c>
      <c r="F234">
        <f t="shared" si="9"/>
        <v>55</v>
      </c>
      <c r="G234">
        <f t="shared" si="11"/>
        <v>0.36666666666666664</v>
      </c>
      <c r="I234">
        <f t="shared" si="10"/>
        <v>77010000044</v>
      </c>
    </row>
    <row r="235" spans="1:9" hidden="1" x14ac:dyDescent="0.35">
      <c r="A235" s="22">
        <v>77010000020</v>
      </c>
      <c r="B235" s="22">
        <v>1</v>
      </c>
      <c r="C235" s="23" t="s">
        <v>0</v>
      </c>
      <c r="D235" s="22">
        <v>9.3800000000000008</v>
      </c>
      <c r="E235" s="39">
        <v>22</v>
      </c>
      <c r="F235">
        <f t="shared" si="9"/>
        <v>206.36</v>
      </c>
      <c r="G235">
        <f t="shared" si="11"/>
        <v>0.36666666666666664</v>
      </c>
      <c r="I235">
        <f t="shared" si="10"/>
        <v>77010000020</v>
      </c>
    </row>
    <row r="236" spans="1:9" hidden="1" x14ac:dyDescent="0.35">
      <c r="A236" s="22">
        <v>77010000083</v>
      </c>
      <c r="B236" s="22">
        <v>1</v>
      </c>
      <c r="C236" s="23" t="s">
        <v>0</v>
      </c>
      <c r="D236" s="22">
        <v>9.3800000000000008</v>
      </c>
      <c r="E236" s="39">
        <v>22</v>
      </c>
      <c r="F236">
        <f t="shared" si="9"/>
        <v>206.36</v>
      </c>
      <c r="G236">
        <f t="shared" si="11"/>
        <v>0.36666666666666664</v>
      </c>
      <c r="I236">
        <f t="shared" si="10"/>
        <v>77010000083</v>
      </c>
    </row>
    <row r="237" spans="1:9" hidden="1" x14ac:dyDescent="0.35">
      <c r="A237" s="22">
        <v>77010000061</v>
      </c>
      <c r="B237" s="22">
        <v>1</v>
      </c>
      <c r="C237" s="23" t="s">
        <v>0</v>
      </c>
      <c r="D237" s="22">
        <v>9.8000000000000007</v>
      </c>
      <c r="E237" s="39">
        <v>23</v>
      </c>
      <c r="F237">
        <f t="shared" si="9"/>
        <v>225.4</v>
      </c>
      <c r="G237">
        <f t="shared" si="11"/>
        <v>0.38333333333333336</v>
      </c>
      <c r="I237">
        <f t="shared" si="10"/>
        <v>77010000061</v>
      </c>
    </row>
    <row r="238" spans="1:9" hidden="1" x14ac:dyDescent="0.35">
      <c r="A238" s="22">
        <v>77010000015</v>
      </c>
      <c r="B238" s="22">
        <v>1</v>
      </c>
      <c r="C238" s="23" t="s">
        <v>0</v>
      </c>
      <c r="D238" s="22">
        <v>9.8000000000000007</v>
      </c>
      <c r="E238" s="39">
        <v>23</v>
      </c>
      <c r="F238">
        <f t="shared" si="9"/>
        <v>225.4</v>
      </c>
      <c r="G238">
        <f t="shared" si="11"/>
        <v>0.38333333333333336</v>
      </c>
      <c r="I238">
        <f t="shared" si="10"/>
        <v>77010000015</v>
      </c>
    </row>
    <row r="239" spans="1:9" hidden="1" x14ac:dyDescent="0.35">
      <c r="A239" s="22">
        <v>77010000025</v>
      </c>
      <c r="B239" s="22">
        <v>1</v>
      </c>
      <c r="C239" s="23" t="s">
        <v>0</v>
      </c>
      <c r="D239" s="22">
        <v>9.8000000000000007</v>
      </c>
      <c r="E239" s="39">
        <v>23</v>
      </c>
      <c r="F239">
        <f t="shared" si="9"/>
        <v>225.4</v>
      </c>
      <c r="G239">
        <f t="shared" si="11"/>
        <v>0.38333333333333336</v>
      </c>
      <c r="I239">
        <f t="shared" si="10"/>
        <v>77010000025</v>
      </c>
    </row>
    <row r="240" spans="1:9" hidden="1" x14ac:dyDescent="0.35">
      <c r="A240" s="22">
        <v>77010000007</v>
      </c>
      <c r="B240" s="22">
        <v>1</v>
      </c>
      <c r="C240" s="23" t="s">
        <v>0</v>
      </c>
      <c r="D240" s="22">
        <v>10.23</v>
      </c>
      <c r="E240" s="39">
        <v>24</v>
      </c>
      <c r="F240">
        <f t="shared" si="9"/>
        <v>245.52</v>
      </c>
      <c r="G240">
        <f t="shared" si="11"/>
        <v>0.4</v>
      </c>
      <c r="I240">
        <f t="shared" si="10"/>
        <v>77010000007</v>
      </c>
    </row>
    <row r="241" spans="1:9" hidden="1" x14ac:dyDescent="0.35">
      <c r="A241" s="22">
        <v>77010000041</v>
      </c>
      <c r="B241" s="22">
        <v>1</v>
      </c>
      <c r="C241" s="23" t="s">
        <v>0</v>
      </c>
      <c r="D241" s="22">
        <v>10.23</v>
      </c>
      <c r="E241" s="39">
        <v>24</v>
      </c>
      <c r="F241">
        <f t="shared" si="9"/>
        <v>245.52</v>
      </c>
      <c r="G241">
        <f t="shared" si="11"/>
        <v>0.4</v>
      </c>
      <c r="I241">
        <f t="shared" si="10"/>
        <v>77010000041</v>
      </c>
    </row>
    <row r="242" spans="1:9" hidden="1" x14ac:dyDescent="0.35">
      <c r="A242" s="22">
        <v>77010000050</v>
      </c>
      <c r="B242" s="22">
        <v>1</v>
      </c>
      <c r="C242" s="23" t="s">
        <v>0</v>
      </c>
      <c r="D242" s="22">
        <v>10.23</v>
      </c>
      <c r="E242" s="39">
        <v>24</v>
      </c>
      <c r="F242">
        <f t="shared" si="9"/>
        <v>245.52</v>
      </c>
      <c r="G242">
        <f t="shared" si="11"/>
        <v>0.4</v>
      </c>
      <c r="I242">
        <f t="shared" si="10"/>
        <v>77010000050</v>
      </c>
    </row>
    <row r="243" spans="1:9" hidden="1" x14ac:dyDescent="0.35">
      <c r="A243" s="22">
        <v>77010000075</v>
      </c>
      <c r="B243" s="22">
        <v>1</v>
      </c>
      <c r="C243" s="23" t="s">
        <v>0</v>
      </c>
      <c r="D243" s="22">
        <v>10.66</v>
      </c>
      <c r="E243" s="39">
        <v>25</v>
      </c>
      <c r="F243">
        <f t="shared" si="9"/>
        <v>266.5</v>
      </c>
      <c r="G243">
        <f t="shared" si="11"/>
        <v>0.41666666666666669</v>
      </c>
      <c r="I243">
        <f t="shared" si="10"/>
        <v>77010000075</v>
      </c>
    </row>
    <row r="244" spans="1:9" hidden="1" x14ac:dyDescent="0.35">
      <c r="A244" s="22">
        <v>77010000081</v>
      </c>
      <c r="B244" s="22">
        <v>1</v>
      </c>
      <c r="C244" s="23" t="s">
        <v>1</v>
      </c>
      <c r="D244" s="22">
        <v>22.3</v>
      </c>
      <c r="E244" s="39">
        <v>26</v>
      </c>
      <c r="F244">
        <f t="shared" si="9"/>
        <v>579.80000000000007</v>
      </c>
      <c r="G244">
        <f t="shared" si="11"/>
        <v>0.43333333333333335</v>
      </c>
      <c r="I244">
        <f t="shared" si="10"/>
        <v>77010000081</v>
      </c>
    </row>
    <row r="245" spans="1:9" hidden="1" x14ac:dyDescent="0.35">
      <c r="A245" s="22">
        <v>77010000077</v>
      </c>
      <c r="B245" s="22">
        <v>1</v>
      </c>
      <c r="C245" s="23" t="s">
        <v>0</v>
      </c>
      <c r="D245" s="22">
        <v>11.08</v>
      </c>
      <c r="E245" s="39">
        <v>26</v>
      </c>
      <c r="F245">
        <f t="shared" si="9"/>
        <v>288.08</v>
      </c>
      <c r="G245">
        <f t="shared" si="11"/>
        <v>0.43333333333333335</v>
      </c>
      <c r="I245">
        <f t="shared" si="10"/>
        <v>77010000077</v>
      </c>
    </row>
    <row r="246" spans="1:9" hidden="1" x14ac:dyDescent="0.35">
      <c r="A246" s="22">
        <v>77010000003</v>
      </c>
      <c r="B246" s="22">
        <v>1</v>
      </c>
      <c r="C246" s="23" t="s">
        <v>1</v>
      </c>
      <c r="D246" s="22">
        <v>22.3</v>
      </c>
      <c r="E246" s="39">
        <v>27</v>
      </c>
      <c r="F246">
        <f t="shared" si="9"/>
        <v>602.1</v>
      </c>
      <c r="G246">
        <f t="shared" si="11"/>
        <v>0.45</v>
      </c>
      <c r="I246">
        <f t="shared" si="10"/>
        <v>77010000003</v>
      </c>
    </row>
    <row r="247" spans="1:9" hidden="1" x14ac:dyDescent="0.35">
      <c r="A247" s="22">
        <v>77010000015</v>
      </c>
      <c r="B247" s="22">
        <v>1</v>
      </c>
      <c r="C247" s="23" t="s">
        <v>0</v>
      </c>
      <c r="D247" s="22">
        <v>11.51</v>
      </c>
      <c r="E247" s="39">
        <v>27</v>
      </c>
      <c r="F247">
        <f t="shared" si="9"/>
        <v>310.77</v>
      </c>
      <c r="G247">
        <f t="shared" si="11"/>
        <v>0.45</v>
      </c>
      <c r="I247">
        <f t="shared" si="10"/>
        <v>77010000015</v>
      </c>
    </row>
    <row r="248" spans="1:9" hidden="1" x14ac:dyDescent="0.35">
      <c r="A248" s="22">
        <v>77010000030</v>
      </c>
      <c r="B248" s="22">
        <v>1</v>
      </c>
      <c r="C248" s="23" t="s">
        <v>0</v>
      </c>
      <c r="D248" s="22">
        <v>11.51</v>
      </c>
      <c r="E248" s="39">
        <v>27</v>
      </c>
      <c r="F248">
        <f t="shared" si="9"/>
        <v>310.77</v>
      </c>
      <c r="G248">
        <f t="shared" si="11"/>
        <v>0.45</v>
      </c>
      <c r="I248">
        <f t="shared" si="10"/>
        <v>77010000030</v>
      </c>
    </row>
    <row r="249" spans="1:9" x14ac:dyDescent="0.35">
      <c r="A249" s="22">
        <v>77010000055</v>
      </c>
      <c r="B249" s="22">
        <v>1</v>
      </c>
      <c r="C249" s="23" t="s">
        <v>0</v>
      </c>
      <c r="D249" s="22">
        <v>11.51</v>
      </c>
      <c r="E249" s="39">
        <v>27</v>
      </c>
      <c r="F249">
        <f t="shared" si="9"/>
        <v>310.77</v>
      </c>
      <c r="G249">
        <f t="shared" si="11"/>
        <v>0.45</v>
      </c>
      <c r="I249">
        <f t="shared" si="10"/>
        <v>77010000055</v>
      </c>
    </row>
    <row r="250" spans="1:9" hidden="1" x14ac:dyDescent="0.35">
      <c r="A250" s="22">
        <v>77010000083</v>
      </c>
      <c r="B250" s="22">
        <v>1</v>
      </c>
      <c r="C250" s="23" t="s">
        <v>0</v>
      </c>
      <c r="D250" s="22">
        <v>11.51</v>
      </c>
      <c r="E250" s="39">
        <v>27</v>
      </c>
      <c r="F250">
        <f t="shared" si="9"/>
        <v>310.77</v>
      </c>
      <c r="G250">
        <f t="shared" si="11"/>
        <v>0.45</v>
      </c>
      <c r="I250">
        <f t="shared" si="10"/>
        <v>77010000083</v>
      </c>
    </row>
    <row r="251" spans="1:9" hidden="1" x14ac:dyDescent="0.35">
      <c r="A251" s="22">
        <v>77010000047</v>
      </c>
      <c r="B251" s="22">
        <v>1</v>
      </c>
      <c r="C251" s="23" t="s">
        <v>0</v>
      </c>
      <c r="D251" s="22">
        <v>11.93</v>
      </c>
      <c r="E251" s="39">
        <v>28</v>
      </c>
      <c r="F251">
        <f t="shared" si="9"/>
        <v>334.03999999999996</v>
      </c>
      <c r="G251">
        <f t="shared" si="11"/>
        <v>0.46666666666666667</v>
      </c>
      <c r="I251">
        <f t="shared" si="10"/>
        <v>77010000047</v>
      </c>
    </row>
    <row r="252" spans="1:9" hidden="1" x14ac:dyDescent="0.35">
      <c r="A252" s="22">
        <v>77010000080</v>
      </c>
      <c r="B252" s="22">
        <v>1</v>
      </c>
      <c r="C252" s="23" t="s">
        <v>0</v>
      </c>
      <c r="D252" s="22">
        <v>11.93</v>
      </c>
      <c r="E252" s="39">
        <v>28</v>
      </c>
      <c r="F252">
        <f t="shared" si="9"/>
        <v>334.03999999999996</v>
      </c>
      <c r="G252">
        <f t="shared" si="11"/>
        <v>0.46666666666666667</v>
      </c>
      <c r="I252">
        <f t="shared" si="10"/>
        <v>77010000080</v>
      </c>
    </row>
    <row r="253" spans="1:9" hidden="1" x14ac:dyDescent="0.35">
      <c r="A253" s="22">
        <v>77010000019</v>
      </c>
      <c r="B253" s="22">
        <v>1</v>
      </c>
      <c r="C253" s="23" t="s">
        <v>0</v>
      </c>
      <c r="D253" s="22">
        <v>14.06</v>
      </c>
      <c r="E253" s="39">
        <v>33</v>
      </c>
      <c r="F253">
        <f t="shared" si="9"/>
        <v>463.98</v>
      </c>
      <c r="G253">
        <f t="shared" si="11"/>
        <v>0.55000000000000004</v>
      </c>
      <c r="I253">
        <f t="shared" si="10"/>
        <v>77010000019</v>
      </c>
    </row>
    <row r="254" spans="1:9" hidden="1" x14ac:dyDescent="0.35">
      <c r="A254" s="22">
        <v>77010000112</v>
      </c>
      <c r="B254" s="22">
        <v>2</v>
      </c>
      <c r="C254" s="23" t="s">
        <v>0</v>
      </c>
      <c r="D254" s="22">
        <v>0.43</v>
      </c>
      <c r="E254" s="39">
        <v>1</v>
      </c>
      <c r="F254">
        <f t="shared" si="9"/>
        <v>0.43</v>
      </c>
      <c r="G254">
        <f t="shared" si="11"/>
        <v>1.6666666666666666E-2</v>
      </c>
      <c r="I254">
        <f t="shared" si="10"/>
        <v>77010000112</v>
      </c>
    </row>
    <row r="255" spans="1:9" hidden="1" x14ac:dyDescent="0.35">
      <c r="A255" s="22">
        <v>77010000114</v>
      </c>
      <c r="B255" s="22">
        <v>2</v>
      </c>
      <c r="C255" s="23" t="s">
        <v>0</v>
      </c>
      <c r="D255" s="22">
        <v>0.43</v>
      </c>
      <c r="E255" s="39">
        <v>1</v>
      </c>
      <c r="F255">
        <f t="shared" si="9"/>
        <v>0.43</v>
      </c>
      <c r="G255">
        <f t="shared" si="11"/>
        <v>1.6666666666666666E-2</v>
      </c>
      <c r="I255">
        <f t="shared" si="10"/>
        <v>77010000114</v>
      </c>
    </row>
    <row r="256" spans="1:9" hidden="1" x14ac:dyDescent="0.35">
      <c r="A256" s="22">
        <v>77010000118</v>
      </c>
      <c r="B256" s="22">
        <v>2</v>
      </c>
      <c r="C256" s="23" t="s">
        <v>0</v>
      </c>
      <c r="D256" s="22">
        <v>0.43</v>
      </c>
      <c r="E256" s="39">
        <v>1</v>
      </c>
      <c r="F256">
        <f t="shared" si="9"/>
        <v>0.43</v>
      </c>
      <c r="G256">
        <f t="shared" si="11"/>
        <v>1.6666666666666666E-2</v>
      </c>
      <c r="I256">
        <f t="shared" si="10"/>
        <v>77010000118</v>
      </c>
    </row>
    <row r="257" spans="1:9" hidden="1" x14ac:dyDescent="0.35">
      <c r="A257" s="22">
        <v>77010000120</v>
      </c>
      <c r="B257" s="22">
        <v>2</v>
      </c>
      <c r="C257" s="23" t="s">
        <v>0</v>
      </c>
      <c r="D257" s="22">
        <v>0.43</v>
      </c>
      <c r="E257" s="39">
        <v>1</v>
      </c>
      <c r="F257">
        <f t="shared" si="9"/>
        <v>0.43</v>
      </c>
      <c r="G257">
        <f t="shared" si="11"/>
        <v>1.6666666666666666E-2</v>
      </c>
      <c r="I257">
        <f t="shared" si="10"/>
        <v>77010000120</v>
      </c>
    </row>
    <row r="258" spans="1:9" hidden="1" x14ac:dyDescent="0.35">
      <c r="A258" s="22">
        <v>77010000115</v>
      </c>
      <c r="B258" s="22">
        <v>2</v>
      </c>
      <c r="C258" s="23" t="s">
        <v>0</v>
      </c>
      <c r="D258" s="22">
        <v>1.28</v>
      </c>
      <c r="E258" s="39">
        <v>3</v>
      </c>
      <c r="F258">
        <f t="shared" ref="F258:F321" si="12">D258*E258</f>
        <v>3.84</v>
      </c>
      <c r="G258">
        <f t="shared" si="11"/>
        <v>0.05</v>
      </c>
      <c r="I258">
        <f t="shared" ref="I258:I321" si="13">_xlfn.UNIQUE(A258,$A:$A,A258)</f>
        <v>77010000115</v>
      </c>
    </row>
    <row r="259" spans="1:9" hidden="1" x14ac:dyDescent="0.35">
      <c r="A259" s="22">
        <v>77010000121</v>
      </c>
      <c r="B259" s="22">
        <v>2</v>
      </c>
      <c r="C259" s="23" t="s">
        <v>0</v>
      </c>
      <c r="D259" s="22">
        <v>1.28</v>
      </c>
      <c r="E259" s="39">
        <v>3</v>
      </c>
      <c r="F259">
        <f t="shared" si="12"/>
        <v>3.84</v>
      </c>
      <c r="G259">
        <f t="shared" ref="G259:G322" si="14">E259/60</f>
        <v>0.05</v>
      </c>
      <c r="I259">
        <f t="shared" si="13"/>
        <v>77010000121</v>
      </c>
    </row>
    <row r="260" spans="1:9" hidden="1" x14ac:dyDescent="0.35">
      <c r="A260" s="22">
        <v>77010000125</v>
      </c>
      <c r="B260" s="22">
        <v>2</v>
      </c>
      <c r="C260" s="23" t="s">
        <v>0</v>
      </c>
      <c r="D260" s="22">
        <v>1.28</v>
      </c>
      <c r="E260" s="39">
        <v>3</v>
      </c>
      <c r="F260">
        <f t="shared" si="12"/>
        <v>3.84</v>
      </c>
      <c r="G260">
        <f t="shared" si="14"/>
        <v>0.05</v>
      </c>
      <c r="I260">
        <f t="shared" si="13"/>
        <v>77010000125</v>
      </c>
    </row>
    <row r="261" spans="1:9" hidden="1" x14ac:dyDescent="0.35">
      <c r="A261" s="22">
        <v>77010000103</v>
      </c>
      <c r="B261" s="22">
        <v>2</v>
      </c>
      <c r="C261" s="23" t="s">
        <v>0</v>
      </c>
      <c r="D261" s="22">
        <v>1.28</v>
      </c>
      <c r="E261" s="39">
        <v>3</v>
      </c>
      <c r="F261">
        <f t="shared" si="12"/>
        <v>3.84</v>
      </c>
      <c r="G261">
        <f t="shared" si="14"/>
        <v>0.05</v>
      </c>
      <c r="I261">
        <f t="shared" si="13"/>
        <v>77010000103</v>
      </c>
    </row>
    <row r="262" spans="1:9" hidden="1" x14ac:dyDescent="0.35">
      <c r="A262" s="22">
        <v>77010000125</v>
      </c>
      <c r="B262" s="22">
        <v>2</v>
      </c>
      <c r="C262" s="23" t="s">
        <v>0</v>
      </c>
      <c r="D262" s="22">
        <v>1.7</v>
      </c>
      <c r="E262" s="39">
        <v>4</v>
      </c>
      <c r="F262">
        <f t="shared" si="12"/>
        <v>6.8</v>
      </c>
      <c r="G262">
        <f t="shared" si="14"/>
        <v>6.6666666666666666E-2</v>
      </c>
      <c r="I262">
        <f t="shared" si="13"/>
        <v>77010000125</v>
      </c>
    </row>
    <row r="263" spans="1:9" hidden="1" x14ac:dyDescent="0.35">
      <c r="A263" s="22">
        <v>77010000120</v>
      </c>
      <c r="B263" s="22">
        <v>2</v>
      </c>
      <c r="C263" s="23" t="s">
        <v>0</v>
      </c>
      <c r="D263" s="22">
        <v>2.13</v>
      </c>
      <c r="E263" s="39">
        <v>5</v>
      </c>
      <c r="F263">
        <f t="shared" si="12"/>
        <v>10.649999999999999</v>
      </c>
      <c r="G263">
        <f t="shared" si="14"/>
        <v>8.3333333333333329E-2</v>
      </c>
      <c r="I263">
        <f t="shared" si="13"/>
        <v>77010000120</v>
      </c>
    </row>
    <row r="264" spans="1:9" hidden="1" x14ac:dyDescent="0.35">
      <c r="A264" s="22">
        <v>77010000110</v>
      </c>
      <c r="B264" s="22">
        <v>2</v>
      </c>
      <c r="C264" s="23" t="s">
        <v>0</v>
      </c>
      <c r="D264" s="22">
        <v>2.98</v>
      </c>
      <c r="E264" s="39">
        <v>7</v>
      </c>
      <c r="F264">
        <f t="shared" si="12"/>
        <v>20.86</v>
      </c>
      <c r="G264">
        <f t="shared" si="14"/>
        <v>0.11666666666666667</v>
      </c>
      <c r="I264">
        <f t="shared" si="13"/>
        <v>77010000110</v>
      </c>
    </row>
    <row r="265" spans="1:9" hidden="1" x14ac:dyDescent="0.35">
      <c r="A265" s="22">
        <v>77010000128</v>
      </c>
      <c r="B265" s="22">
        <v>2</v>
      </c>
      <c r="C265" s="23" t="s">
        <v>0</v>
      </c>
      <c r="D265" s="22">
        <v>2.98</v>
      </c>
      <c r="E265" s="39">
        <v>7</v>
      </c>
      <c r="F265">
        <f t="shared" si="12"/>
        <v>20.86</v>
      </c>
      <c r="G265">
        <f t="shared" si="14"/>
        <v>0.11666666666666667</v>
      </c>
      <c r="I265">
        <f t="shared" si="13"/>
        <v>77010000128</v>
      </c>
    </row>
    <row r="266" spans="1:9" hidden="1" x14ac:dyDescent="0.35">
      <c r="A266" s="22">
        <v>77010000126</v>
      </c>
      <c r="B266" s="22">
        <v>2</v>
      </c>
      <c r="C266" s="23" t="s">
        <v>0</v>
      </c>
      <c r="D266" s="22">
        <v>2.98</v>
      </c>
      <c r="E266" s="39">
        <v>7</v>
      </c>
      <c r="F266">
        <f t="shared" si="12"/>
        <v>20.86</v>
      </c>
      <c r="G266">
        <f t="shared" si="14"/>
        <v>0.11666666666666667</v>
      </c>
      <c r="I266">
        <f t="shared" si="13"/>
        <v>77010000126</v>
      </c>
    </row>
    <row r="267" spans="1:9" hidden="1" x14ac:dyDescent="0.35">
      <c r="A267" s="22">
        <v>77010000127</v>
      </c>
      <c r="B267" s="22">
        <v>2</v>
      </c>
      <c r="C267" s="23" t="s">
        <v>1</v>
      </c>
      <c r="D267" s="22">
        <v>7.84</v>
      </c>
      <c r="E267" s="39">
        <v>7</v>
      </c>
      <c r="F267">
        <f t="shared" si="12"/>
        <v>54.879999999999995</v>
      </c>
      <c r="G267">
        <f t="shared" si="14"/>
        <v>0.11666666666666667</v>
      </c>
      <c r="I267">
        <f t="shared" si="13"/>
        <v>77010000127</v>
      </c>
    </row>
    <row r="268" spans="1:9" hidden="1" x14ac:dyDescent="0.35">
      <c r="A268" s="22">
        <v>77010000100</v>
      </c>
      <c r="B268" s="22">
        <v>2</v>
      </c>
      <c r="C268" s="23" t="s">
        <v>0</v>
      </c>
      <c r="D268" s="22">
        <v>2.98</v>
      </c>
      <c r="E268" s="39">
        <v>7</v>
      </c>
      <c r="F268">
        <f t="shared" si="12"/>
        <v>20.86</v>
      </c>
      <c r="G268">
        <f t="shared" si="14"/>
        <v>0.11666666666666667</v>
      </c>
      <c r="I268">
        <f t="shared" si="13"/>
        <v>77010000100</v>
      </c>
    </row>
    <row r="269" spans="1:9" hidden="1" x14ac:dyDescent="0.35">
      <c r="A269" s="22">
        <v>77010000102</v>
      </c>
      <c r="B269" s="22">
        <v>2</v>
      </c>
      <c r="C269" s="23" t="s">
        <v>0</v>
      </c>
      <c r="D269" s="22">
        <v>2.98</v>
      </c>
      <c r="E269" s="39">
        <v>7</v>
      </c>
      <c r="F269">
        <f t="shared" si="12"/>
        <v>20.86</v>
      </c>
      <c r="G269">
        <f t="shared" si="14"/>
        <v>0.11666666666666667</v>
      </c>
      <c r="I269">
        <f t="shared" si="13"/>
        <v>77010000102</v>
      </c>
    </row>
    <row r="270" spans="1:9" hidden="1" x14ac:dyDescent="0.35">
      <c r="A270" s="22">
        <v>77010000124</v>
      </c>
      <c r="B270" s="22">
        <v>2</v>
      </c>
      <c r="C270" s="23" t="s">
        <v>0</v>
      </c>
      <c r="D270" s="22">
        <v>3.41</v>
      </c>
      <c r="E270" s="39">
        <v>8</v>
      </c>
      <c r="F270">
        <f t="shared" si="12"/>
        <v>27.28</v>
      </c>
      <c r="G270">
        <f t="shared" si="14"/>
        <v>0.13333333333333333</v>
      </c>
      <c r="I270">
        <f t="shared" si="13"/>
        <v>77010000124</v>
      </c>
    </row>
    <row r="271" spans="1:9" hidden="1" x14ac:dyDescent="0.35">
      <c r="A271" s="22">
        <v>77010000111</v>
      </c>
      <c r="B271" s="22">
        <v>2</v>
      </c>
      <c r="C271" s="23" t="s">
        <v>0</v>
      </c>
      <c r="D271" s="22">
        <v>3.84</v>
      </c>
      <c r="E271" s="39">
        <v>9</v>
      </c>
      <c r="F271">
        <f t="shared" si="12"/>
        <v>34.56</v>
      </c>
      <c r="G271">
        <f t="shared" si="14"/>
        <v>0.15</v>
      </c>
      <c r="I271">
        <f t="shared" si="13"/>
        <v>77010000111</v>
      </c>
    </row>
    <row r="272" spans="1:9" hidden="1" x14ac:dyDescent="0.35">
      <c r="A272" s="22">
        <v>77010000129</v>
      </c>
      <c r="B272" s="22">
        <v>2</v>
      </c>
      <c r="C272" s="23" t="s">
        <v>0</v>
      </c>
      <c r="D272" s="22">
        <v>3.84</v>
      </c>
      <c r="E272" s="39">
        <v>9</v>
      </c>
      <c r="F272">
        <f t="shared" si="12"/>
        <v>34.56</v>
      </c>
      <c r="G272">
        <f t="shared" si="14"/>
        <v>0.15</v>
      </c>
      <c r="I272">
        <f t="shared" si="13"/>
        <v>77010000129</v>
      </c>
    </row>
    <row r="273" spans="1:9" hidden="1" x14ac:dyDescent="0.35">
      <c r="A273" s="22">
        <v>77010000110</v>
      </c>
      <c r="B273" s="22">
        <v>2</v>
      </c>
      <c r="C273" s="23" t="s">
        <v>0</v>
      </c>
      <c r="D273" s="22">
        <v>3.84</v>
      </c>
      <c r="E273" s="39">
        <v>9</v>
      </c>
      <c r="F273">
        <f t="shared" si="12"/>
        <v>34.56</v>
      </c>
      <c r="G273">
        <f t="shared" si="14"/>
        <v>0.15</v>
      </c>
      <c r="I273">
        <f t="shared" si="13"/>
        <v>77010000110</v>
      </c>
    </row>
    <row r="274" spans="1:9" hidden="1" x14ac:dyDescent="0.35">
      <c r="A274" s="22">
        <v>77010000128</v>
      </c>
      <c r="B274" s="22">
        <v>2</v>
      </c>
      <c r="C274" s="23" t="s">
        <v>0</v>
      </c>
      <c r="D274" s="22">
        <v>4.26</v>
      </c>
      <c r="E274" s="39">
        <v>10</v>
      </c>
      <c r="F274">
        <f t="shared" si="12"/>
        <v>42.599999999999994</v>
      </c>
      <c r="G274">
        <f t="shared" si="14"/>
        <v>0.16666666666666666</v>
      </c>
      <c r="I274">
        <f t="shared" si="13"/>
        <v>77010000128</v>
      </c>
    </row>
    <row r="275" spans="1:9" hidden="1" x14ac:dyDescent="0.35">
      <c r="A275" s="22">
        <v>77010000120</v>
      </c>
      <c r="B275" s="22">
        <v>2</v>
      </c>
      <c r="C275" s="23" t="s">
        <v>0</v>
      </c>
      <c r="D275" s="22">
        <v>4.26</v>
      </c>
      <c r="E275" s="39">
        <v>10</v>
      </c>
      <c r="F275">
        <f t="shared" si="12"/>
        <v>42.599999999999994</v>
      </c>
      <c r="G275">
        <f t="shared" si="14"/>
        <v>0.16666666666666666</v>
      </c>
      <c r="I275">
        <f t="shared" si="13"/>
        <v>77010000120</v>
      </c>
    </row>
    <row r="276" spans="1:9" hidden="1" x14ac:dyDescent="0.35">
      <c r="A276" s="22">
        <v>77010000098</v>
      </c>
      <c r="B276" s="22">
        <v>2</v>
      </c>
      <c r="C276" s="23" t="s">
        <v>0</v>
      </c>
      <c r="D276" s="22">
        <v>2.2799999999999998</v>
      </c>
      <c r="E276" s="39">
        <v>10</v>
      </c>
      <c r="F276">
        <f t="shared" si="12"/>
        <v>22.799999999999997</v>
      </c>
      <c r="G276">
        <f t="shared" si="14"/>
        <v>0.16666666666666666</v>
      </c>
      <c r="I276">
        <f t="shared" si="13"/>
        <v>77010000098</v>
      </c>
    </row>
    <row r="277" spans="1:9" hidden="1" x14ac:dyDescent="0.35">
      <c r="A277" s="22">
        <v>77010000104</v>
      </c>
      <c r="B277" s="22">
        <v>2</v>
      </c>
      <c r="C277" s="23" t="s">
        <v>0</v>
      </c>
      <c r="D277" s="22">
        <v>4.26</v>
      </c>
      <c r="E277" s="39">
        <v>10</v>
      </c>
      <c r="F277">
        <f t="shared" si="12"/>
        <v>42.599999999999994</v>
      </c>
      <c r="G277">
        <f t="shared" si="14"/>
        <v>0.16666666666666666</v>
      </c>
      <c r="I277">
        <f t="shared" si="13"/>
        <v>77010000104</v>
      </c>
    </row>
    <row r="278" spans="1:9" hidden="1" x14ac:dyDescent="0.35">
      <c r="A278" s="22">
        <v>77010000127</v>
      </c>
      <c r="B278" s="22">
        <v>2</v>
      </c>
      <c r="C278" s="23" t="s">
        <v>1</v>
      </c>
      <c r="D278" s="22">
        <v>15.68</v>
      </c>
      <c r="E278" s="39">
        <v>13</v>
      </c>
      <c r="F278">
        <f t="shared" si="12"/>
        <v>203.84</v>
      </c>
      <c r="G278">
        <f t="shared" si="14"/>
        <v>0.21666666666666667</v>
      </c>
      <c r="I278">
        <f t="shared" si="13"/>
        <v>77010000127</v>
      </c>
    </row>
    <row r="279" spans="1:9" hidden="1" x14ac:dyDescent="0.35">
      <c r="A279" s="22">
        <v>77010000129</v>
      </c>
      <c r="B279" s="22">
        <v>2</v>
      </c>
      <c r="C279" s="23" t="s">
        <v>0</v>
      </c>
      <c r="D279" s="22">
        <v>5.54</v>
      </c>
      <c r="E279" s="39">
        <v>13</v>
      </c>
      <c r="F279">
        <f t="shared" si="12"/>
        <v>72.02</v>
      </c>
      <c r="G279">
        <f t="shared" si="14"/>
        <v>0.21666666666666667</v>
      </c>
      <c r="I279">
        <f t="shared" si="13"/>
        <v>77010000129</v>
      </c>
    </row>
    <row r="280" spans="1:9" hidden="1" x14ac:dyDescent="0.35">
      <c r="A280" s="22">
        <v>77010000106</v>
      </c>
      <c r="B280" s="22">
        <v>2</v>
      </c>
      <c r="C280" s="23" t="s">
        <v>0</v>
      </c>
      <c r="D280" s="22">
        <v>5.97</v>
      </c>
      <c r="E280" s="39">
        <v>14</v>
      </c>
      <c r="F280">
        <f t="shared" si="12"/>
        <v>83.58</v>
      </c>
      <c r="G280">
        <f t="shared" si="14"/>
        <v>0.23333333333333334</v>
      </c>
      <c r="I280">
        <f t="shared" si="13"/>
        <v>77010000106</v>
      </c>
    </row>
    <row r="281" spans="1:9" hidden="1" x14ac:dyDescent="0.35">
      <c r="A281" s="22">
        <v>77010000107</v>
      </c>
      <c r="B281" s="22">
        <v>2</v>
      </c>
      <c r="C281" s="23" t="s">
        <v>0</v>
      </c>
      <c r="D281" s="22">
        <v>5.97</v>
      </c>
      <c r="E281" s="39">
        <v>14</v>
      </c>
      <c r="F281">
        <f t="shared" si="12"/>
        <v>83.58</v>
      </c>
      <c r="G281">
        <f t="shared" si="14"/>
        <v>0.23333333333333334</v>
      </c>
      <c r="I281">
        <f t="shared" si="13"/>
        <v>77010000107</v>
      </c>
    </row>
    <row r="282" spans="1:9" hidden="1" x14ac:dyDescent="0.35">
      <c r="A282" s="22">
        <v>77010000105</v>
      </c>
      <c r="B282" s="22">
        <v>2</v>
      </c>
      <c r="C282" s="23" t="s">
        <v>0</v>
      </c>
      <c r="D282" s="22">
        <v>5.97</v>
      </c>
      <c r="E282" s="39">
        <v>14</v>
      </c>
      <c r="F282">
        <f t="shared" si="12"/>
        <v>83.58</v>
      </c>
      <c r="G282">
        <f t="shared" si="14"/>
        <v>0.23333333333333334</v>
      </c>
      <c r="I282">
        <f t="shared" si="13"/>
        <v>77010000105</v>
      </c>
    </row>
    <row r="283" spans="1:9" hidden="1" x14ac:dyDescent="0.35">
      <c r="A283" s="22">
        <v>77010000117</v>
      </c>
      <c r="B283" s="22">
        <v>2</v>
      </c>
      <c r="C283" s="23" t="s">
        <v>0</v>
      </c>
      <c r="D283" s="22">
        <v>7.25</v>
      </c>
      <c r="E283" s="39">
        <v>17</v>
      </c>
      <c r="F283">
        <f t="shared" si="12"/>
        <v>123.25</v>
      </c>
      <c r="G283">
        <f t="shared" si="14"/>
        <v>0.28333333333333333</v>
      </c>
      <c r="I283">
        <f t="shared" si="13"/>
        <v>77010000117</v>
      </c>
    </row>
    <row r="284" spans="1:9" hidden="1" x14ac:dyDescent="0.35">
      <c r="A284" s="22">
        <v>77010000123</v>
      </c>
      <c r="B284" s="22">
        <v>2</v>
      </c>
      <c r="C284" s="23" t="s">
        <v>0</v>
      </c>
      <c r="D284" s="22">
        <v>7.25</v>
      </c>
      <c r="E284" s="39">
        <v>17</v>
      </c>
      <c r="F284">
        <f t="shared" si="12"/>
        <v>123.25</v>
      </c>
      <c r="G284">
        <f t="shared" si="14"/>
        <v>0.28333333333333333</v>
      </c>
      <c r="I284">
        <f t="shared" si="13"/>
        <v>77010000123</v>
      </c>
    </row>
    <row r="285" spans="1:9" hidden="1" x14ac:dyDescent="0.35">
      <c r="A285" s="22">
        <v>77010000127</v>
      </c>
      <c r="B285" s="22">
        <v>2</v>
      </c>
      <c r="C285" s="23" t="s">
        <v>1</v>
      </c>
      <c r="D285" s="22">
        <v>15.68</v>
      </c>
      <c r="E285" s="39">
        <v>17</v>
      </c>
      <c r="F285">
        <f t="shared" si="12"/>
        <v>266.56</v>
      </c>
      <c r="G285">
        <f t="shared" si="14"/>
        <v>0.28333333333333333</v>
      </c>
      <c r="I285">
        <f t="shared" si="13"/>
        <v>77010000127</v>
      </c>
    </row>
    <row r="286" spans="1:9" hidden="1" x14ac:dyDescent="0.35">
      <c r="A286" s="22">
        <v>77010000105</v>
      </c>
      <c r="B286" s="22">
        <v>2</v>
      </c>
      <c r="C286" s="23" t="s">
        <v>0</v>
      </c>
      <c r="D286" s="22">
        <v>7.67</v>
      </c>
      <c r="E286" s="39">
        <v>18</v>
      </c>
      <c r="F286">
        <f t="shared" si="12"/>
        <v>138.06</v>
      </c>
      <c r="G286">
        <f t="shared" si="14"/>
        <v>0.3</v>
      </c>
      <c r="I286">
        <f t="shared" si="13"/>
        <v>77010000105</v>
      </c>
    </row>
    <row r="287" spans="1:9" hidden="1" x14ac:dyDescent="0.35">
      <c r="A287" s="22">
        <v>77010000113</v>
      </c>
      <c r="B287" s="22">
        <v>2</v>
      </c>
      <c r="C287" s="23" t="s">
        <v>0</v>
      </c>
      <c r="D287" s="22">
        <v>4.33</v>
      </c>
      <c r="E287" s="39">
        <v>19</v>
      </c>
      <c r="F287">
        <f t="shared" si="12"/>
        <v>82.27</v>
      </c>
      <c r="G287">
        <f t="shared" si="14"/>
        <v>0.31666666666666665</v>
      </c>
      <c r="I287">
        <f t="shared" si="13"/>
        <v>77010000113</v>
      </c>
    </row>
    <row r="288" spans="1:9" hidden="1" x14ac:dyDescent="0.35">
      <c r="A288" s="22">
        <v>77010000119</v>
      </c>
      <c r="B288" s="22">
        <v>2</v>
      </c>
      <c r="C288" s="23" t="s">
        <v>0</v>
      </c>
      <c r="D288" s="22">
        <v>4.33</v>
      </c>
      <c r="E288" s="39">
        <v>19</v>
      </c>
      <c r="F288">
        <f t="shared" si="12"/>
        <v>82.27</v>
      </c>
      <c r="G288">
        <f t="shared" si="14"/>
        <v>0.31666666666666665</v>
      </c>
      <c r="I288">
        <f t="shared" si="13"/>
        <v>77010000119</v>
      </c>
    </row>
    <row r="289" spans="1:9" hidden="1" x14ac:dyDescent="0.35">
      <c r="A289" s="22">
        <v>77010000126</v>
      </c>
      <c r="B289" s="22">
        <v>2</v>
      </c>
      <c r="C289" s="23" t="s">
        <v>0</v>
      </c>
      <c r="D289" s="22">
        <v>8.1</v>
      </c>
      <c r="E289" s="39">
        <v>19</v>
      </c>
      <c r="F289">
        <f t="shared" si="12"/>
        <v>153.9</v>
      </c>
      <c r="G289">
        <f t="shared" si="14"/>
        <v>0.31666666666666665</v>
      </c>
      <c r="I289">
        <f t="shared" si="13"/>
        <v>77010000126</v>
      </c>
    </row>
    <row r="290" spans="1:9" hidden="1" x14ac:dyDescent="0.35">
      <c r="A290" s="22">
        <v>77010000128</v>
      </c>
      <c r="B290" s="22">
        <v>2</v>
      </c>
      <c r="C290" s="23" t="s">
        <v>0</v>
      </c>
      <c r="D290" s="22">
        <v>4.33</v>
      </c>
      <c r="E290" s="39">
        <v>19</v>
      </c>
      <c r="F290">
        <f t="shared" si="12"/>
        <v>82.27</v>
      </c>
      <c r="G290">
        <f t="shared" si="14"/>
        <v>0.31666666666666665</v>
      </c>
      <c r="I290">
        <f t="shared" si="13"/>
        <v>77010000128</v>
      </c>
    </row>
    <row r="291" spans="1:9" hidden="1" x14ac:dyDescent="0.35">
      <c r="A291" s="22">
        <v>77010000125</v>
      </c>
      <c r="B291" s="22">
        <v>2</v>
      </c>
      <c r="C291" s="23" t="s">
        <v>0</v>
      </c>
      <c r="D291" s="22">
        <v>5.0199999999999996</v>
      </c>
      <c r="E291" s="39">
        <v>22</v>
      </c>
      <c r="F291">
        <f t="shared" si="12"/>
        <v>110.44</v>
      </c>
      <c r="G291">
        <f t="shared" si="14"/>
        <v>0.36666666666666664</v>
      </c>
      <c r="I291">
        <f t="shared" si="13"/>
        <v>77010000125</v>
      </c>
    </row>
    <row r="292" spans="1:9" hidden="1" x14ac:dyDescent="0.35">
      <c r="A292" s="22">
        <v>77010000124</v>
      </c>
      <c r="B292" s="22">
        <v>2</v>
      </c>
      <c r="C292" s="23" t="s">
        <v>0</v>
      </c>
      <c r="D292" s="22">
        <v>9.3800000000000008</v>
      </c>
      <c r="E292" s="39">
        <v>22</v>
      </c>
      <c r="F292">
        <f t="shared" si="12"/>
        <v>206.36</v>
      </c>
      <c r="G292">
        <f t="shared" si="14"/>
        <v>0.36666666666666664</v>
      </c>
      <c r="I292">
        <f t="shared" si="13"/>
        <v>77010000124</v>
      </c>
    </row>
    <row r="293" spans="1:9" hidden="1" x14ac:dyDescent="0.35">
      <c r="A293" s="22">
        <v>77010000116</v>
      </c>
      <c r="B293" s="22">
        <v>2</v>
      </c>
      <c r="C293" s="23" t="s">
        <v>0</v>
      </c>
      <c r="D293" s="22">
        <v>10.23</v>
      </c>
      <c r="E293" s="39">
        <v>24</v>
      </c>
      <c r="F293">
        <f t="shared" si="12"/>
        <v>245.52</v>
      </c>
      <c r="G293">
        <f t="shared" si="14"/>
        <v>0.4</v>
      </c>
      <c r="I293">
        <f t="shared" si="13"/>
        <v>77010000116</v>
      </c>
    </row>
    <row r="294" spans="1:9" hidden="1" x14ac:dyDescent="0.35">
      <c r="A294" s="22">
        <v>77010000122</v>
      </c>
      <c r="B294" s="22">
        <v>2</v>
      </c>
      <c r="C294" s="23" t="s">
        <v>0</v>
      </c>
      <c r="D294" s="22">
        <v>10.23</v>
      </c>
      <c r="E294" s="39">
        <v>24</v>
      </c>
      <c r="F294">
        <f t="shared" si="12"/>
        <v>245.52</v>
      </c>
      <c r="G294">
        <f t="shared" si="14"/>
        <v>0.4</v>
      </c>
      <c r="I294">
        <f t="shared" si="13"/>
        <v>77010000122</v>
      </c>
    </row>
    <row r="295" spans="1:9" hidden="1" x14ac:dyDescent="0.35">
      <c r="A295" s="22">
        <v>77010000123</v>
      </c>
      <c r="B295" s="22">
        <v>2</v>
      </c>
      <c r="C295" s="23" t="s">
        <v>0</v>
      </c>
      <c r="D295" s="22">
        <v>5.47</v>
      </c>
      <c r="E295" s="39">
        <v>24</v>
      </c>
      <c r="F295">
        <f t="shared" si="12"/>
        <v>131.28</v>
      </c>
      <c r="G295">
        <f t="shared" si="14"/>
        <v>0.4</v>
      </c>
      <c r="I295">
        <f t="shared" si="13"/>
        <v>77010000123</v>
      </c>
    </row>
    <row r="296" spans="1:9" hidden="1" x14ac:dyDescent="0.35">
      <c r="A296" s="22">
        <v>77010000106</v>
      </c>
      <c r="B296" s="22">
        <v>2</v>
      </c>
      <c r="C296" s="23" t="s">
        <v>2</v>
      </c>
      <c r="D296" s="22">
        <v>23.52</v>
      </c>
      <c r="E296" s="39">
        <v>26</v>
      </c>
      <c r="F296">
        <f t="shared" si="12"/>
        <v>611.52</v>
      </c>
      <c r="G296">
        <f t="shared" si="14"/>
        <v>0.43333333333333335</v>
      </c>
      <c r="I296">
        <f t="shared" si="13"/>
        <v>77010000106</v>
      </c>
    </row>
    <row r="297" spans="1:9" hidden="1" x14ac:dyDescent="0.35">
      <c r="A297" s="22">
        <v>77010000121</v>
      </c>
      <c r="B297" s="22">
        <v>2</v>
      </c>
      <c r="C297" s="23" t="s">
        <v>0</v>
      </c>
      <c r="D297" s="22">
        <v>6.38</v>
      </c>
      <c r="E297" s="39">
        <v>28</v>
      </c>
      <c r="F297">
        <f t="shared" si="12"/>
        <v>178.64</v>
      </c>
      <c r="G297">
        <f t="shared" si="14"/>
        <v>0.46666666666666667</v>
      </c>
      <c r="I297">
        <f t="shared" si="13"/>
        <v>77010000121</v>
      </c>
    </row>
    <row r="298" spans="1:9" hidden="1" x14ac:dyDescent="0.35">
      <c r="A298" s="22">
        <v>77010000109</v>
      </c>
      <c r="B298" s="22">
        <v>2</v>
      </c>
      <c r="C298" s="23" t="s">
        <v>0</v>
      </c>
      <c r="D298" s="22">
        <v>13.21</v>
      </c>
      <c r="E298" s="39">
        <v>31</v>
      </c>
      <c r="F298">
        <f t="shared" si="12"/>
        <v>409.51000000000005</v>
      </c>
      <c r="G298">
        <f t="shared" si="14"/>
        <v>0.51666666666666672</v>
      </c>
      <c r="I298">
        <f t="shared" si="13"/>
        <v>77010000109</v>
      </c>
    </row>
    <row r="299" spans="1:9" hidden="1" x14ac:dyDescent="0.35">
      <c r="A299" s="22">
        <v>77010000124</v>
      </c>
      <c r="B299" s="22">
        <v>2</v>
      </c>
      <c r="C299" s="23" t="s">
        <v>0</v>
      </c>
      <c r="D299" s="22">
        <v>13.64</v>
      </c>
      <c r="E299" s="39">
        <v>32</v>
      </c>
      <c r="F299">
        <f t="shared" si="12"/>
        <v>436.48</v>
      </c>
      <c r="G299">
        <f t="shared" si="14"/>
        <v>0.53333333333333333</v>
      </c>
      <c r="I299">
        <f t="shared" si="13"/>
        <v>77010000124</v>
      </c>
    </row>
    <row r="300" spans="1:9" hidden="1" x14ac:dyDescent="0.35">
      <c r="A300" s="22">
        <v>77010000126</v>
      </c>
      <c r="B300" s="22">
        <v>2</v>
      </c>
      <c r="C300" s="23" t="s">
        <v>0</v>
      </c>
      <c r="D300" s="22">
        <v>13.64</v>
      </c>
      <c r="E300" s="39">
        <v>32</v>
      </c>
      <c r="F300">
        <f t="shared" si="12"/>
        <v>436.48</v>
      </c>
      <c r="G300">
        <f t="shared" si="14"/>
        <v>0.53333333333333333</v>
      </c>
      <c r="I300">
        <f t="shared" si="13"/>
        <v>77010000126</v>
      </c>
    </row>
    <row r="301" spans="1:9" hidden="1" x14ac:dyDescent="0.35">
      <c r="A301" s="22">
        <v>77010000108</v>
      </c>
      <c r="B301" s="22">
        <v>2</v>
      </c>
      <c r="C301" s="23" t="s">
        <v>0</v>
      </c>
      <c r="D301" s="22">
        <v>8.2100000000000009</v>
      </c>
      <c r="E301" s="39">
        <v>36</v>
      </c>
      <c r="F301">
        <f t="shared" si="12"/>
        <v>295.56000000000006</v>
      </c>
      <c r="G301">
        <f t="shared" si="14"/>
        <v>0.6</v>
      </c>
      <c r="I301">
        <f t="shared" si="13"/>
        <v>77010000108</v>
      </c>
    </row>
    <row r="302" spans="1:9" hidden="1" x14ac:dyDescent="0.35">
      <c r="A302" s="22">
        <v>77010000110</v>
      </c>
      <c r="B302" s="22">
        <v>2</v>
      </c>
      <c r="C302" s="23" t="s">
        <v>0</v>
      </c>
      <c r="D302" s="22">
        <v>8.89</v>
      </c>
      <c r="E302" s="39">
        <v>39</v>
      </c>
      <c r="F302">
        <f t="shared" si="12"/>
        <v>346.71000000000004</v>
      </c>
      <c r="G302">
        <f t="shared" si="14"/>
        <v>0.65</v>
      </c>
      <c r="I302">
        <f t="shared" si="13"/>
        <v>77010000110</v>
      </c>
    </row>
    <row r="303" spans="1:9" hidden="1" x14ac:dyDescent="0.35">
      <c r="A303" s="22">
        <v>77010000111</v>
      </c>
      <c r="B303" s="22">
        <v>2</v>
      </c>
      <c r="C303" s="23" t="s">
        <v>0</v>
      </c>
      <c r="D303" s="22">
        <v>8.89</v>
      </c>
      <c r="E303" s="39">
        <v>39</v>
      </c>
      <c r="F303">
        <f t="shared" si="12"/>
        <v>346.71000000000004</v>
      </c>
      <c r="G303">
        <f t="shared" si="14"/>
        <v>0.65</v>
      </c>
      <c r="I303">
        <f t="shared" si="13"/>
        <v>77010000111</v>
      </c>
    </row>
    <row r="304" spans="1:9" hidden="1" x14ac:dyDescent="0.35">
      <c r="A304" s="22">
        <v>77010000114</v>
      </c>
      <c r="B304" s="22">
        <v>2</v>
      </c>
      <c r="C304" s="23" t="s">
        <v>0</v>
      </c>
      <c r="D304" s="22">
        <v>17.47</v>
      </c>
      <c r="E304" s="39">
        <v>41</v>
      </c>
      <c r="F304">
        <f t="shared" si="12"/>
        <v>716.27</v>
      </c>
      <c r="G304">
        <f t="shared" si="14"/>
        <v>0.68333333333333335</v>
      </c>
      <c r="I304">
        <f t="shared" si="13"/>
        <v>77010000114</v>
      </c>
    </row>
    <row r="305" spans="1:9" hidden="1" x14ac:dyDescent="0.35">
      <c r="A305" s="22">
        <v>77010000101</v>
      </c>
      <c r="B305" s="22">
        <v>2</v>
      </c>
      <c r="C305" s="23" t="s">
        <v>0</v>
      </c>
      <c r="D305" s="22">
        <v>17.47</v>
      </c>
      <c r="E305" s="39">
        <v>41</v>
      </c>
      <c r="F305">
        <f t="shared" si="12"/>
        <v>716.27</v>
      </c>
      <c r="G305">
        <f t="shared" si="14"/>
        <v>0.68333333333333335</v>
      </c>
      <c r="I305">
        <f t="shared" si="13"/>
        <v>77010000101</v>
      </c>
    </row>
    <row r="306" spans="1:9" hidden="1" x14ac:dyDescent="0.35">
      <c r="A306" s="22">
        <v>77010000112</v>
      </c>
      <c r="B306" s="22">
        <v>2</v>
      </c>
      <c r="C306" s="23" t="s">
        <v>0</v>
      </c>
      <c r="D306" s="22">
        <v>18.329999999999998</v>
      </c>
      <c r="E306" s="39">
        <v>43</v>
      </c>
      <c r="F306">
        <f t="shared" si="12"/>
        <v>788.18999999999994</v>
      </c>
      <c r="G306">
        <f t="shared" si="14"/>
        <v>0.71666666666666667</v>
      </c>
      <c r="I306">
        <f t="shared" si="13"/>
        <v>77010000112</v>
      </c>
    </row>
    <row r="307" spans="1:9" hidden="1" x14ac:dyDescent="0.35">
      <c r="A307" s="22">
        <v>77010000129</v>
      </c>
      <c r="B307" s="22">
        <v>2</v>
      </c>
      <c r="C307" s="23" t="s">
        <v>0</v>
      </c>
      <c r="D307" s="22">
        <v>21.31</v>
      </c>
      <c r="E307" s="39">
        <v>50</v>
      </c>
      <c r="F307">
        <f t="shared" si="12"/>
        <v>1065.5</v>
      </c>
      <c r="G307">
        <f t="shared" si="14"/>
        <v>0.83333333333333337</v>
      </c>
      <c r="I307">
        <f t="shared" si="13"/>
        <v>77010000129</v>
      </c>
    </row>
    <row r="308" spans="1:9" hidden="1" x14ac:dyDescent="0.35">
      <c r="A308" s="22">
        <v>77010000108</v>
      </c>
      <c r="B308" s="22">
        <v>2</v>
      </c>
      <c r="C308" s="23" t="s">
        <v>0</v>
      </c>
      <c r="D308" s="22">
        <v>22.59</v>
      </c>
      <c r="E308" s="39">
        <v>53</v>
      </c>
      <c r="F308">
        <f t="shared" si="12"/>
        <v>1197.27</v>
      </c>
      <c r="G308">
        <f t="shared" si="14"/>
        <v>0.8833333333333333</v>
      </c>
      <c r="I308">
        <f t="shared" si="13"/>
        <v>77010000108</v>
      </c>
    </row>
    <row r="309" spans="1:9" hidden="1" x14ac:dyDescent="0.35">
      <c r="A309" s="22">
        <v>77010000115</v>
      </c>
      <c r="B309" s="22">
        <v>2</v>
      </c>
      <c r="C309" s="23" t="s">
        <v>0</v>
      </c>
      <c r="D309" s="22">
        <v>23.01</v>
      </c>
      <c r="E309" s="39">
        <v>54</v>
      </c>
      <c r="F309">
        <f t="shared" si="12"/>
        <v>1242.5400000000002</v>
      </c>
      <c r="G309">
        <f t="shared" si="14"/>
        <v>0.9</v>
      </c>
      <c r="I309">
        <f t="shared" si="13"/>
        <v>77010000115</v>
      </c>
    </row>
    <row r="310" spans="1:9" hidden="1" x14ac:dyDescent="0.35">
      <c r="A310" s="22">
        <v>77010000113</v>
      </c>
      <c r="B310" s="22">
        <v>2</v>
      </c>
      <c r="C310" s="23" t="s">
        <v>0</v>
      </c>
      <c r="D310" s="22">
        <v>25.15</v>
      </c>
      <c r="E310" s="39">
        <v>59</v>
      </c>
      <c r="F310">
        <f t="shared" si="12"/>
        <v>1483.85</v>
      </c>
      <c r="G310">
        <f t="shared" si="14"/>
        <v>0.98333333333333328</v>
      </c>
      <c r="I310">
        <f t="shared" si="13"/>
        <v>77010000113</v>
      </c>
    </row>
    <row r="311" spans="1:9" hidden="1" x14ac:dyDescent="0.35">
      <c r="A311" s="22">
        <v>77010000123</v>
      </c>
      <c r="B311" s="22">
        <v>2</v>
      </c>
      <c r="C311" s="23" t="s">
        <v>0</v>
      </c>
      <c r="D311" s="22">
        <v>14.14</v>
      </c>
      <c r="E311" s="39">
        <v>62</v>
      </c>
      <c r="F311">
        <f t="shared" si="12"/>
        <v>876.68000000000006</v>
      </c>
      <c r="G311">
        <f t="shared" si="14"/>
        <v>1.0333333333333334</v>
      </c>
      <c r="I311">
        <f t="shared" si="13"/>
        <v>77010000123</v>
      </c>
    </row>
    <row r="312" spans="1:9" hidden="1" x14ac:dyDescent="0.35">
      <c r="A312" s="22">
        <v>77010000121</v>
      </c>
      <c r="B312" s="22">
        <v>2</v>
      </c>
      <c r="C312" s="23" t="s">
        <v>0</v>
      </c>
      <c r="D312" s="22">
        <v>28.13</v>
      </c>
      <c r="E312" s="39">
        <v>66</v>
      </c>
      <c r="F312">
        <f t="shared" si="12"/>
        <v>1856.58</v>
      </c>
      <c r="G312">
        <f t="shared" si="14"/>
        <v>1.1000000000000001</v>
      </c>
      <c r="I312">
        <f t="shared" si="13"/>
        <v>77010000121</v>
      </c>
    </row>
    <row r="313" spans="1:9" hidden="1" x14ac:dyDescent="0.35">
      <c r="A313" s="22">
        <v>77010000099</v>
      </c>
      <c r="B313" s="22">
        <v>2</v>
      </c>
      <c r="C313" s="23" t="s">
        <v>0</v>
      </c>
      <c r="D313" s="22">
        <v>29.83</v>
      </c>
      <c r="E313" s="39">
        <v>70</v>
      </c>
      <c r="F313">
        <f t="shared" si="12"/>
        <v>2088.1</v>
      </c>
      <c r="G313">
        <f t="shared" si="14"/>
        <v>1.1666666666666667</v>
      </c>
      <c r="I313">
        <f t="shared" si="13"/>
        <v>77010000099</v>
      </c>
    </row>
    <row r="314" spans="1:9" hidden="1" x14ac:dyDescent="0.35">
      <c r="A314" s="22">
        <v>77010000122</v>
      </c>
      <c r="B314" s="22">
        <v>2</v>
      </c>
      <c r="C314" s="23" t="s">
        <v>0</v>
      </c>
      <c r="D314" s="22">
        <v>16.87</v>
      </c>
      <c r="E314" s="39">
        <v>74</v>
      </c>
      <c r="F314">
        <f t="shared" si="12"/>
        <v>1248.3800000000001</v>
      </c>
      <c r="G314">
        <f t="shared" si="14"/>
        <v>1.2333333333333334</v>
      </c>
      <c r="I314">
        <f t="shared" si="13"/>
        <v>77010000122</v>
      </c>
    </row>
    <row r="315" spans="1:9" hidden="1" x14ac:dyDescent="0.35">
      <c r="A315" s="22">
        <v>77010000099</v>
      </c>
      <c r="B315" s="22">
        <v>2</v>
      </c>
      <c r="C315" s="23" t="s">
        <v>0</v>
      </c>
      <c r="D315" s="22">
        <v>32.39</v>
      </c>
      <c r="E315" s="39">
        <v>76</v>
      </c>
      <c r="F315">
        <f t="shared" si="12"/>
        <v>2461.64</v>
      </c>
      <c r="G315">
        <f t="shared" si="14"/>
        <v>1.2666666666666666</v>
      </c>
      <c r="I315">
        <f t="shared" si="13"/>
        <v>77010000099</v>
      </c>
    </row>
    <row r="316" spans="1:9" hidden="1" x14ac:dyDescent="0.35">
      <c r="A316" s="22">
        <v>77010000109</v>
      </c>
      <c r="B316" s="22">
        <v>2</v>
      </c>
      <c r="C316" s="23" t="s">
        <v>1</v>
      </c>
      <c r="D316" s="22">
        <v>62.72</v>
      </c>
      <c r="E316" s="39">
        <v>79</v>
      </c>
      <c r="F316">
        <f t="shared" si="12"/>
        <v>4954.88</v>
      </c>
      <c r="G316">
        <f t="shared" si="14"/>
        <v>1.3166666666666667</v>
      </c>
      <c r="I316">
        <f t="shared" si="13"/>
        <v>77010000109</v>
      </c>
    </row>
    <row r="317" spans="1:9" hidden="1" x14ac:dyDescent="0.35">
      <c r="A317" s="22">
        <v>77010000109</v>
      </c>
      <c r="B317" s="22">
        <v>2</v>
      </c>
      <c r="C317" s="23" t="s">
        <v>0</v>
      </c>
      <c r="D317" s="22">
        <v>18.47</v>
      </c>
      <c r="E317" s="39">
        <v>81</v>
      </c>
      <c r="F317">
        <f t="shared" si="12"/>
        <v>1496.07</v>
      </c>
      <c r="G317">
        <f t="shared" si="14"/>
        <v>1.35</v>
      </c>
      <c r="I317">
        <f t="shared" si="13"/>
        <v>77010000109</v>
      </c>
    </row>
    <row r="318" spans="1:9" hidden="1" x14ac:dyDescent="0.35">
      <c r="A318" s="22">
        <v>77010000107</v>
      </c>
      <c r="B318" s="22">
        <v>2</v>
      </c>
      <c r="C318" s="23" t="s">
        <v>0</v>
      </c>
      <c r="D318" s="22">
        <v>34.950000000000003</v>
      </c>
      <c r="E318" s="39">
        <v>82</v>
      </c>
      <c r="F318">
        <f t="shared" si="12"/>
        <v>2865.9</v>
      </c>
      <c r="G318">
        <f t="shared" si="14"/>
        <v>1.3666666666666667</v>
      </c>
      <c r="I318">
        <f t="shared" si="13"/>
        <v>77010000107</v>
      </c>
    </row>
    <row r="319" spans="1:9" hidden="1" x14ac:dyDescent="0.35">
      <c r="A319" s="22">
        <v>77010000122</v>
      </c>
      <c r="B319" s="22">
        <v>2</v>
      </c>
      <c r="C319" s="23" t="s">
        <v>0</v>
      </c>
      <c r="D319" s="22">
        <v>21.2</v>
      </c>
      <c r="E319" s="39">
        <v>93</v>
      </c>
      <c r="F319">
        <f t="shared" si="12"/>
        <v>1971.6</v>
      </c>
      <c r="G319">
        <f t="shared" si="14"/>
        <v>1.55</v>
      </c>
      <c r="I319">
        <f t="shared" si="13"/>
        <v>77010000122</v>
      </c>
    </row>
    <row r="320" spans="1:9" hidden="1" x14ac:dyDescent="0.35">
      <c r="A320" s="22">
        <v>77010000138</v>
      </c>
      <c r="B320" s="22">
        <v>3</v>
      </c>
      <c r="C320" s="23" t="s">
        <v>0</v>
      </c>
      <c r="D320" s="22">
        <v>0.43</v>
      </c>
      <c r="E320" s="39">
        <v>1</v>
      </c>
      <c r="F320">
        <f t="shared" si="12"/>
        <v>0.43</v>
      </c>
      <c r="G320">
        <f t="shared" si="14"/>
        <v>1.6666666666666666E-2</v>
      </c>
      <c r="I320">
        <f t="shared" si="13"/>
        <v>77010000138</v>
      </c>
    </row>
    <row r="321" spans="1:9" hidden="1" x14ac:dyDescent="0.35">
      <c r="A321" s="22">
        <v>77010000135</v>
      </c>
      <c r="B321" s="22">
        <v>3</v>
      </c>
      <c r="C321" s="23" t="s">
        <v>0</v>
      </c>
      <c r="D321" s="22">
        <v>0.85</v>
      </c>
      <c r="E321" s="39">
        <v>2</v>
      </c>
      <c r="F321">
        <f t="shared" si="12"/>
        <v>1.7</v>
      </c>
      <c r="G321">
        <f t="shared" si="14"/>
        <v>3.3333333333333333E-2</v>
      </c>
      <c r="I321">
        <f t="shared" si="13"/>
        <v>77010000135</v>
      </c>
    </row>
    <row r="322" spans="1:9" hidden="1" x14ac:dyDescent="0.35">
      <c r="A322" s="22">
        <v>77010000134</v>
      </c>
      <c r="B322" s="22">
        <v>3</v>
      </c>
      <c r="C322" s="23" t="s">
        <v>0</v>
      </c>
      <c r="D322" s="22">
        <v>0.85</v>
      </c>
      <c r="E322" s="39">
        <v>2</v>
      </c>
      <c r="F322">
        <f t="shared" ref="F322:F385" si="15">D322*E322</f>
        <v>1.7</v>
      </c>
      <c r="G322">
        <f t="shared" si="14"/>
        <v>3.3333333333333333E-2</v>
      </c>
      <c r="I322">
        <f t="shared" ref="I322:I385" si="16">_xlfn.UNIQUE(A322,$A:$A,A322)</f>
        <v>77010000134</v>
      </c>
    </row>
    <row r="323" spans="1:9" hidden="1" x14ac:dyDescent="0.35">
      <c r="A323" s="22">
        <v>77010000130</v>
      </c>
      <c r="B323" s="22">
        <v>3</v>
      </c>
      <c r="C323" s="23" t="s">
        <v>0</v>
      </c>
      <c r="D323" s="22">
        <v>2.13</v>
      </c>
      <c r="E323" s="39">
        <v>5</v>
      </c>
      <c r="F323">
        <f t="shared" si="15"/>
        <v>10.649999999999999</v>
      </c>
      <c r="G323">
        <f t="shared" ref="G323:G386" si="17">E323/60</f>
        <v>8.3333333333333329E-2</v>
      </c>
      <c r="I323">
        <f t="shared" si="16"/>
        <v>77010000130</v>
      </c>
    </row>
    <row r="324" spans="1:9" hidden="1" x14ac:dyDescent="0.35">
      <c r="A324" s="22">
        <v>77010000130</v>
      </c>
      <c r="B324" s="22">
        <v>3</v>
      </c>
      <c r="C324" s="23" t="s">
        <v>0</v>
      </c>
      <c r="D324" s="22">
        <v>2.56</v>
      </c>
      <c r="E324" s="39">
        <v>6</v>
      </c>
      <c r="F324">
        <f t="shared" si="15"/>
        <v>15.36</v>
      </c>
      <c r="G324">
        <f t="shared" si="17"/>
        <v>0.1</v>
      </c>
      <c r="I324">
        <f t="shared" si="16"/>
        <v>77010000130</v>
      </c>
    </row>
    <row r="325" spans="1:9" hidden="1" x14ac:dyDescent="0.35">
      <c r="A325" s="22">
        <v>77010000131</v>
      </c>
      <c r="B325" s="22">
        <v>3</v>
      </c>
      <c r="C325" s="23" t="s">
        <v>0</v>
      </c>
      <c r="D325" s="22">
        <v>2.56</v>
      </c>
      <c r="E325" s="39">
        <v>6</v>
      </c>
      <c r="F325">
        <f t="shared" si="15"/>
        <v>15.36</v>
      </c>
      <c r="G325">
        <f t="shared" si="17"/>
        <v>0.1</v>
      </c>
      <c r="I325">
        <f t="shared" si="16"/>
        <v>77010000131</v>
      </c>
    </row>
    <row r="326" spans="1:9" hidden="1" x14ac:dyDescent="0.35">
      <c r="A326" s="22">
        <v>77010000145</v>
      </c>
      <c r="B326" s="22">
        <v>3</v>
      </c>
      <c r="C326" s="23" t="s">
        <v>0</v>
      </c>
      <c r="D326" s="22">
        <v>3.84</v>
      </c>
      <c r="E326" s="39">
        <v>9</v>
      </c>
      <c r="F326">
        <f t="shared" si="15"/>
        <v>34.56</v>
      </c>
      <c r="G326">
        <f t="shared" si="17"/>
        <v>0.15</v>
      </c>
      <c r="I326">
        <f t="shared" si="16"/>
        <v>77010000145</v>
      </c>
    </row>
    <row r="327" spans="1:9" hidden="1" x14ac:dyDescent="0.35">
      <c r="A327" s="22">
        <v>77010000137</v>
      </c>
      <c r="B327" s="22">
        <v>3</v>
      </c>
      <c r="C327" s="23" t="s">
        <v>0</v>
      </c>
      <c r="D327" s="22">
        <v>4.26</v>
      </c>
      <c r="E327" s="39">
        <v>10</v>
      </c>
      <c r="F327">
        <f t="shared" si="15"/>
        <v>42.599999999999994</v>
      </c>
      <c r="G327">
        <f t="shared" si="17"/>
        <v>0.16666666666666666</v>
      </c>
      <c r="I327">
        <f t="shared" si="16"/>
        <v>77010000137</v>
      </c>
    </row>
    <row r="328" spans="1:9" hidden="1" x14ac:dyDescent="0.35">
      <c r="A328" s="22">
        <v>77010000132</v>
      </c>
      <c r="B328" s="22">
        <v>3</v>
      </c>
      <c r="C328" s="23" t="s">
        <v>0</v>
      </c>
      <c r="D328" s="22">
        <v>4.26</v>
      </c>
      <c r="E328" s="39">
        <v>10</v>
      </c>
      <c r="F328">
        <f t="shared" si="15"/>
        <v>42.599999999999994</v>
      </c>
      <c r="G328">
        <f t="shared" si="17"/>
        <v>0.16666666666666666</v>
      </c>
      <c r="I328">
        <f t="shared" si="16"/>
        <v>77010000132</v>
      </c>
    </row>
    <row r="329" spans="1:9" hidden="1" x14ac:dyDescent="0.35">
      <c r="A329" s="22">
        <v>77010000139</v>
      </c>
      <c r="B329" s="22">
        <v>3</v>
      </c>
      <c r="C329" s="23" t="s">
        <v>0</v>
      </c>
      <c r="D329" s="22">
        <v>5.1100000000000003</v>
      </c>
      <c r="E329" s="39">
        <v>12</v>
      </c>
      <c r="F329">
        <f t="shared" si="15"/>
        <v>61.320000000000007</v>
      </c>
      <c r="G329">
        <f t="shared" si="17"/>
        <v>0.2</v>
      </c>
      <c r="I329">
        <f t="shared" si="16"/>
        <v>77010000139</v>
      </c>
    </row>
    <row r="330" spans="1:9" hidden="1" x14ac:dyDescent="0.35">
      <c r="A330" s="22">
        <v>77010000135</v>
      </c>
      <c r="B330" s="22">
        <v>3</v>
      </c>
      <c r="C330" s="23" t="s">
        <v>0</v>
      </c>
      <c r="D330" s="22">
        <v>5.54</v>
      </c>
      <c r="E330" s="39">
        <v>13</v>
      </c>
      <c r="F330">
        <f t="shared" si="15"/>
        <v>72.02</v>
      </c>
      <c r="G330">
        <f t="shared" si="17"/>
        <v>0.21666666666666667</v>
      </c>
      <c r="I330">
        <f t="shared" si="16"/>
        <v>77010000135</v>
      </c>
    </row>
    <row r="331" spans="1:9" hidden="1" x14ac:dyDescent="0.35">
      <c r="A331" s="22">
        <v>77010000136</v>
      </c>
      <c r="B331" s="22">
        <v>3</v>
      </c>
      <c r="C331" s="23" t="s">
        <v>0</v>
      </c>
      <c r="D331" s="22">
        <v>5.97</v>
      </c>
      <c r="E331" s="39">
        <v>14</v>
      </c>
      <c r="F331">
        <f t="shared" si="15"/>
        <v>83.58</v>
      </c>
      <c r="G331">
        <f t="shared" si="17"/>
        <v>0.23333333333333334</v>
      </c>
      <c r="I331">
        <f t="shared" si="16"/>
        <v>77010000136</v>
      </c>
    </row>
    <row r="332" spans="1:9" hidden="1" x14ac:dyDescent="0.35">
      <c r="A332" s="22">
        <v>77010000144</v>
      </c>
      <c r="B332" s="22">
        <v>3</v>
      </c>
      <c r="C332" s="23" t="s">
        <v>0</v>
      </c>
      <c r="D332" s="22">
        <v>6.39</v>
      </c>
      <c r="E332" s="39">
        <v>15</v>
      </c>
      <c r="F332">
        <f t="shared" si="15"/>
        <v>95.85</v>
      </c>
      <c r="G332">
        <f t="shared" si="17"/>
        <v>0.25</v>
      </c>
      <c r="I332">
        <f t="shared" si="16"/>
        <v>77010000144</v>
      </c>
    </row>
    <row r="333" spans="1:9" hidden="1" x14ac:dyDescent="0.35">
      <c r="A333" s="22">
        <v>77010000143</v>
      </c>
      <c r="B333" s="22">
        <v>3</v>
      </c>
      <c r="C333" s="23" t="s">
        <v>0</v>
      </c>
      <c r="D333" s="22">
        <v>7.67</v>
      </c>
      <c r="E333" s="39">
        <v>18</v>
      </c>
      <c r="F333">
        <f t="shared" si="15"/>
        <v>138.06</v>
      </c>
      <c r="G333">
        <f t="shared" si="17"/>
        <v>0.3</v>
      </c>
      <c r="I333">
        <f t="shared" si="16"/>
        <v>77010000143</v>
      </c>
    </row>
    <row r="334" spans="1:9" hidden="1" x14ac:dyDescent="0.35">
      <c r="A334" s="22">
        <v>77010000131</v>
      </c>
      <c r="B334" s="22">
        <v>3</v>
      </c>
      <c r="C334" s="23" t="s">
        <v>0</v>
      </c>
      <c r="D334" s="22">
        <v>8.52</v>
      </c>
      <c r="E334" s="39">
        <v>20</v>
      </c>
      <c r="F334">
        <f t="shared" si="15"/>
        <v>170.39999999999998</v>
      </c>
      <c r="G334">
        <f t="shared" si="17"/>
        <v>0.33333333333333331</v>
      </c>
      <c r="I334">
        <f t="shared" si="16"/>
        <v>77010000131</v>
      </c>
    </row>
    <row r="335" spans="1:9" hidden="1" x14ac:dyDescent="0.35">
      <c r="A335" s="22">
        <v>77010000141</v>
      </c>
      <c r="B335" s="22">
        <v>3</v>
      </c>
      <c r="C335" s="23" t="s">
        <v>0</v>
      </c>
      <c r="D335" s="22">
        <v>8.9499999999999993</v>
      </c>
      <c r="E335" s="39">
        <v>21</v>
      </c>
      <c r="F335">
        <f t="shared" si="15"/>
        <v>187.95</v>
      </c>
      <c r="G335">
        <f t="shared" si="17"/>
        <v>0.35</v>
      </c>
      <c r="I335">
        <f t="shared" si="16"/>
        <v>77010000141</v>
      </c>
    </row>
    <row r="336" spans="1:9" hidden="1" x14ac:dyDescent="0.35">
      <c r="A336" s="22">
        <v>77010000136</v>
      </c>
      <c r="B336" s="22">
        <v>3</v>
      </c>
      <c r="C336" s="23" t="s">
        <v>0</v>
      </c>
      <c r="D336" s="22">
        <v>9.3800000000000008</v>
      </c>
      <c r="E336" s="39">
        <v>22</v>
      </c>
      <c r="F336">
        <f t="shared" si="15"/>
        <v>206.36</v>
      </c>
      <c r="G336">
        <f t="shared" si="17"/>
        <v>0.36666666666666664</v>
      </c>
      <c r="I336">
        <f t="shared" si="16"/>
        <v>77010000136</v>
      </c>
    </row>
    <row r="337" spans="1:9" hidden="1" x14ac:dyDescent="0.35">
      <c r="A337" s="22">
        <v>77010000131</v>
      </c>
      <c r="B337" s="22">
        <v>3</v>
      </c>
      <c r="C337" s="23" t="s">
        <v>0</v>
      </c>
      <c r="D337" s="22">
        <v>9.8000000000000007</v>
      </c>
      <c r="E337" s="39">
        <v>23</v>
      </c>
      <c r="F337">
        <f t="shared" si="15"/>
        <v>225.4</v>
      </c>
      <c r="G337">
        <f t="shared" si="17"/>
        <v>0.38333333333333336</v>
      </c>
      <c r="I337">
        <f t="shared" si="16"/>
        <v>77010000131</v>
      </c>
    </row>
    <row r="338" spans="1:9" hidden="1" x14ac:dyDescent="0.35">
      <c r="A338" s="22">
        <v>77010000133</v>
      </c>
      <c r="B338" s="22">
        <v>3</v>
      </c>
      <c r="C338" s="23" t="s">
        <v>0</v>
      </c>
      <c r="D338" s="22">
        <v>9.8000000000000007</v>
      </c>
      <c r="E338" s="39">
        <v>23</v>
      </c>
      <c r="F338">
        <f t="shared" si="15"/>
        <v>225.4</v>
      </c>
      <c r="G338">
        <f t="shared" si="17"/>
        <v>0.38333333333333336</v>
      </c>
      <c r="I338">
        <f t="shared" si="16"/>
        <v>77010000133</v>
      </c>
    </row>
    <row r="339" spans="1:9" hidden="1" x14ac:dyDescent="0.35">
      <c r="A339" s="22">
        <v>77010000133</v>
      </c>
      <c r="B339" s="22">
        <v>3</v>
      </c>
      <c r="C339" s="23" t="s">
        <v>0</v>
      </c>
      <c r="D339" s="22">
        <v>10.23</v>
      </c>
      <c r="E339" s="39">
        <v>24</v>
      </c>
      <c r="F339">
        <f t="shared" si="15"/>
        <v>245.52</v>
      </c>
      <c r="G339">
        <f t="shared" si="17"/>
        <v>0.4</v>
      </c>
      <c r="I339">
        <f t="shared" si="16"/>
        <v>77010000133</v>
      </c>
    </row>
    <row r="340" spans="1:9" hidden="1" x14ac:dyDescent="0.35">
      <c r="A340" s="22">
        <v>77010000134</v>
      </c>
      <c r="B340" s="22">
        <v>3</v>
      </c>
      <c r="C340" s="23" t="s">
        <v>0</v>
      </c>
      <c r="D340" s="22">
        <v>11.51</v>
      </c>
      <c r="E340" s="39">
        <v>27</v>
      </c>
      <c r="F340">
        <f t="shared" si="15"/>
        <v>310.77</v>
      </c>
      <c r="G340">
        <f t="shared" si="17"/>
        <v>0.45</v>
      </c>
      <c r="I340">
        <f t="shared" si="16"/>
        <v>77010000134</v>
      </c>
    </row>
    <row r="341" spans="1:9" hidden="1" x14ac:dyDescent="0.35">
      <c r="A341" s="22">
        <v>77010000132</v>
      </c>
      <c r="B341" s="22">
        <v>3</v>
      </c>
      <c r="C341" s="23" t="s">
        <v>4</v>
      </c>
      <c r="D341" s="22">
        <v>0</v>
      </c>
      <c r="E341" s="39">
        <v>31</v>
      </c>
      <c r="F341">
        <f t="shared" si="15"/>
        <v>0</v>
      </c>
      <c r="G341">
        <f t="shared" si="17"/>
        <v>0.51666666666666672</v>
      </c>
      <c r="I341">
        <f t="shared" si="16"/>
        <v>77010000132</v>
      </c>
    </row>
    <row r="342" spans="1:9" hidden="1" x14ac:dyDescent="0.35">
      <c r="A342" s="22">
        <v>77010000146</v>
      </c>
      <c r="B342" s="22">
        <v>3</v>
      </c>
      <c r="C342" s="23" t="s">
        <v>0</v>
      </c>
      <c r="D342" s="22">
        <v>15.77</v>
      </c>
      <c r="E342" s="39">
        <v>37</v>
      </c>
      <c r="F342">
        <f t="shared" si="15"/>
        <v>583.49</v>
      </c>
      <c r="G342">
        <f t="shared" si="17"/>
        <v>0.6166666666666667</v>
      </c>
      <c r="I342">
        <f t="shared" si="16"/>
        <v>77010000146</v>
      </c>
    </row>
    <row r="343" spans="1:9" hidden="1" x14ac:dyDescent="0.35">
      <c r="A343" s="22">
        <v>77010000130</v>
      </c>
      <c r="B343" s="22">
        <v>3</v>
      </c>
      <c r="C343" s="23" t="s">
        <v>0</v>
      </c>
      <c r="D343" s="22">
        <v>18.75</v>
      </c>
      <c r="E343" s="39">
        <v>44</v>
      </c>
      <c r="F343">
        <f t="shared" si="15"/>
        <v>825</v>
      </c>
      <c r="G343">
        <f t="shared" si="17"/>
        <v>0.73333333333333328</v>
      </c>
      <c r="I343">
        <f t="shared" si="16"/>
        <v>77010000130</v>
      </c>
    </row>
    <row r="344" spans="1:9" hidden="1" x14ac:dyDescent="0.35">
      <c r="A344" s="22">
        <v>77010000140</v>
      </c>
      <c r="B344" s="22">
        <v>3</v>
      </c>
      <c r="C344" s="23" t="s">
        <v>0</v>
      </c>
      <c r="D344" s="22">
        <v>18.75</v>
      </c>
      <c r="E344" s="39">
        <v>44</v>
      </c>
      <c r="F344">
        <f t="shared" si="15"/>
        <v>825</v>
      </c>
      <c r="G344">
        <f t="shared" si="17"/>
        <v>0.73333333333333328</v>
      </c>
      <c r="I344">
        <f t="shared" si="16"/>
        <v>77010000140</v>
      </c>
    </row>
    <row r="345" spans="1:9" hidden="1" x14ac:dyDescent="0.35">
      <c r="A345" s="22">
        <v>77010000133</v>
      </c>
      <c r="B345" s="22">
        <v>3</v>
      </c>
      <c r="C345" s="23" t="s">
        <v>0</v>
      </c>
      <c r="D345" s="22">
        <v>21.74</v>
      </c>
      <c r="E345" s="39">
        <v>51</v>
      </c>
      <c r="F345">
        <f t="shared" si="15"/>
        <v>1108.74</v>
      </c>
      <c r="G345">
        <f t="shared" si="17"/>
        <v>0.85</v>
      </c>
      <c r="I345">
        <f t="shared" si="16"/>
        <v>77010000133</v>
      </c>
    </row>
    <row r="346" spans="1:9" hidden="1" x14ac:dyDescent="0.35">
      <c r="A346" s="22">
        <v>77010000130</v>
      </c>
      <c r="B346" s="22">
        <v>3</v>
      </c>
      <c r="C346" s="23" t="s">
        <v>0</v>
      </c>
      <c r="D346" s="22">
        <v>24.72</v>
      </c>
      <c r="E346" s="39">
        <v>58</v>
      </c>
      <c r="F346">
        <f t="shared" si="15"/>
        <v>1433.76</v>
      </c>
      <c r="G346">
        <f t="shared" si="17"/>
        <v>0.96666666666666667</v>
      </c>
      <c r="I346">
        <f t="shared" si="16"/>
        <v>77010000130</v>
      </c>
    </row>
    <row r="347" spans="1:9" hidden="1" x14ac:dyDescent="0.35">
      <c r="A347" s="22">
        <v>77010000132</v>
      </c>
      <c r="B347" s="22">
        <v>3</v>
      </c>
      <c r="C347" s="23" t="s">
        <v>0</v>
      </c>
      <c r="D347" s="22">
        <v>29.41</v>
      </c>
      <c r="E347" s="39">
        <v>69</v>
      </c>
      <c r="F347">
        <f t="shared" si="15"/>
        <v>2029.29</v>
      </c>
      <c r="G347">
        <f t="shared" si="17"/>
        <v>1.1499999999999999</v>
      </c>
      <c r="I347">
        <f t="shared" si="16"/>
        <v>77010000132</v>
      </c>
    </row>
    <row r="348" spans="1:9" hidden="1" x14ac:dyDescent="0.35">
      <c r="A348" s="22">
        <v>77010000142</v>
      </c>
      <c r="B348" s="22">
        <v>3</v>
      </c>
      <c r="C348" s="23" t="s">
        <v>0</v>
      </c>
      <c r="D348" s="22">
        <v>40.49</v>
      </c>
      <c r="E348" s="39">
        <v>95</v>
      </c>
      <c r="F348">
        <f t="shared" si="15"/>
        <v>3846.55</v>
      </c>
      <c r="G348">
        <f t="shared" si="17"/>
        <v>1.5833333333333333</v>
      </c>
      <c r="I348">
        <f t="shared" si="16"/>
        <v>77010000142</v>
      </c>
    </row>
    <row r="349" spans="1:9" hidden="1" x14ac:dyDescent="0.35">
      <c r="A349" s="22">
        <v>77010000150</v>
      </c>
      <c r="B349" s="22">
        <v>4</v>
      </c>
      <c r="C349" s="23" t="s">
        <v>0</v>
      </c>
      <c r="D349" s="22">
        <v>3.25</v>
      </c>
      <c r="E349" s="39">
        <v>8</v>
      </c>
      <c r="F349">
        <f t="shared" si="15"/>
        <v>26</v>
      </c>
      <c r="G349">
        <f t="shared" si="17"/>
        <v>0.13333333333333333</v>
      </c>
      <c r="I349">
        <f t="shared" si="16"/>
        <v>77010000150</v>
      </c>
    </row>
    <row r="350" spans="1:9" hidden="1" x14ac:dyDescent="0.35">
      <c r="A350" s="22">
        <v>77010000148</v>
      </c>
      <c r="B350" s="22">
        <v>4</v>
      </c>
      <c r="C350" s="23" t="s">
        <v>0</v>
      </c>
      <c r="D350" s="22">
        <v>5.69</v>
      </c>
      <c r="E350" s="39">
        <v>14</v>
      </c>
      <c r="F350">
        <f t="shared" si="15"/>
        <v>79.660000000000011</v>
      </c>
      <c r="G350">
        <f t="shared" si="17"/>
        <v>0.23333333333333334</v>
      </c>
      <c r="I350">
        <f t="shared" si="16"/>
        <v>77010000148</v>
      </c>
    </row>
    <row r="351" spans="1:9" hidden="1" x14ac:dyDescent="0.35">
      <c r="A351" s="22">
        <v>77010000150</v>
      </c>
      <c r="B351" s="22">
        <v>4</v>
      </c>
      <c r="C351" s="23" t="s">
        <v>0</v>
      </c>
      <c r="D351" s="22">
        <v>5.69</v>
      </c>
      <c r="E351" s="39">
        <v>14</v>
      </c>
      <c r="F351">
        <f t="shared" si="15"/>
        <v>79.660000000000011</v>
      </c>
      <c r="G351">
        <f t="shared" si="17"/>
        <v>0.23333333333333334</v>
      </c>
      <c r="I351">
        <f t="shared" si="16"/>
        <v>77010000150</v>
      </c>
    </row>
    <row r="352" spans="1:9" hidden="1" x14ac:dyDescent="0.35">
      <c r="A352" s="22">
        <v>77010000147</v>
      </c>
      <c r="B352" s="22">
        <v>4</v>
      </c>
      <c r="C352" s="23" t="s">
        <v>0</v>
      </c>
      <c r="D352" s="22">
        <v>6.5</v>
      </c>
      <c r="E352" s="39">
        <v>16</v>
      </c>
      <c r="F352">
        <f t="shared" si="15"/>
        <v>104</v>
      </c>
      <c r="G352">
        <f t="shared" si="17"/>
        <v>0.26666666666666666</v>
      </c>
      <c r="I352">
        <f t="shared" si="16"/>
        <v>77010000147</v>
      </c>
    </row>
    <row r="353" spans="1:9" hidden="1" x14ac:dyDescent="0.35">
      <c r="A353" s="22">
        <v>77010000149</v>
      </c>
      <c r="B353" s="22">
        <v>4</v>
      </c>
      <c r="C353" s="23" t="s">
        <v>0</v>
      </c>
      <c r="D353" s="22">
        <v>6.5</v>
      </c>
      <c r="E353" s="39">
        <v>16</v>
      </c>
      <c r="F353">
        <f t="shared" si="15"/>
        <v>104</v>
      </c>
      <c r="G353">
        <f t="shared" si="17"/>
        <v>0.26666666666666666</v>
      </c>
      <c r="I353">
        <f t="shared" si="16"/>
        <v>77010000149</v>
      </c>
    </row>
    <row r="354" spans="1:9" hidden="1" x14ac:dyDescent="0.35">
      <c r="A354" s="22">
        <v>77010000151</v>
      </c>
      <c r="B354" s="22">
        <v>4</v>
      </c>
      <c r="C354" s="23" t="s">
        <v>0</v>
      </c>
      <c r="D354" s="22">
        <v>8.5299999999999994</v>
      </c>
      <c r="E354" s="39">
        <v>21</v>
      </c>
      <c r="F354">
        <f t="shared" si="15"/>
        <v>179.13</v>
      </c>
      <c r="G354">
        <f t="shared" si="17"/>
        <v>0.35</v>
      </c>
      <c r="I354">
        <f t="shared" si="16"/>
        <v>77010000151</v>
      </c>
    </row>
    <row r="355" spans="1:9" hidden="1" x14ac:dyDescent="0.35">
      <c r="A355" s="22">
        <v>77010000152</v>
      </c>
      <c r="B355" s="22">
        <v>4</v>
      </c>
      <c r="C355" s="23" t="s">
        <v>0</v>
      </c>
      <c r="D355" s="22">
        <v>8.5299999999999994</v>
      </c>
      <c r="E355" s="39">
        <v>21</v>
      </c>
      <c r="F355">
        <f t="shared" si="15"/>
        <v>179.13</v>
      </c>
      <c r="G355">
        <f t="shared" si="17"/>
        <v>0.35</v>
      </c>
      <c r="I355">
        <f t="shared" si="16"/>
        <v>77010000152</v>
      </c>
    </row>
    <row r="356" spans="1:9" hidden="1" x14ac:dyDescent="0.35">
      <c r="A356" s="22">
        <v>77010000154</v>
      </c>
      <c r="B356" s="22">
        <v>4</v>
      </c>
      <c r="C356" s="23" t="s">
        <v>0</v>
      </c>
      <c r="D356" s="22">
        <v>9.75</v>
      </c>
      <c r="E356" s="39">
        <v>24</v>
      </c>
      <c r="F356">
        <f t="shared" si="15"/>
        <v>234</v>
      </c>
      <c r="G356">
        <f t="shared" si="17"/>
        <v>0.4</v>
      </c>
      <c r="I356">
        <f t="shared" si="16"/>
        <v>77010000154</v>
      </c>
    </row>
    <row r="357" spans="1:9" hidden="1" x14ac:dyDescent="0.35">
      <c r="A357" s="22">
        <v>77010000148</v>
      </c>
      <c r="B357" s="22">
        <v>4</v>
      </c>
      <c r="C357" s="23" t="s">
        <v>0</v>
      </c>
      <c r="D357" s="22">
        <v>9.75</v>
      </c>
      <c r="E357" s="39">
        <v>24</v>
      </c>
      <c r="F357">
        <f t="shared" si="15"/>
        <v>234</v>
      </c>
      <c r="G357">
        <f t="shared" si="17"/>
        <v>0.4</v>
      </c>
      <c r="I357">
        <f t="shared" si="16"/>
        <v>77010000148</v>
      </c>
    </row>
    <row r="358" spans="1:9" hidden="1" x14ac:dyDescent="0.35">
      <c r="A358" s="22">
        <v>77010000149</v>
      </c>
      <c r="B358" s="22">
        <v>4</v>
      </c>
      <c r="C358" s="23" t="s">
        <v>0</v>
      </c>
      <c r="D358" s="22">
        <v>9.75</v>
      </c>
      <c r="E358" s="39">
        <v>24</v>
      </c>
      <c r="F358">
        <f t="shared" si="15"/>
        <v>234</v>
      </c>
      <c r="G358">
        <f t="shared" si="17"/>
        <v>0.4</v>
      </c>
      <c r="I358">
        <f t="shared" si="16"/>
        <v>77010000149</v>
      </c>
    </row>
    <row r="359" spans="1:9" hidden="1" x14ac:dyDescent="0.35">
      <c r="A359" s="22">
        <v>77010000150</v>
      </c>
      <c r="B359" s="22">
        <v>4</v>
      </c>
      <c r="C359" s="23" t="s">
        <v>0</v>
      </c>
      <c r="D359" s="22">
        <v>12.19</v>
      </c>
      <c r="E359" s="39">
        <v>30</v>
      </c>
      <c r="F359">
        <f t="shared" si="15"/>
        <v>365.7</v>
      </c>
      <c r="G359">
        <f t="shared" si="17"/>
        <v>0.5</v>
      </c>
      <c r="I359">
        <f t="shared" si="16"/>
        <v>77010000150</v>
      </c>
    </row>
    <row r="360" spans="1:9" hidden="1" x14ac:dyDescent="0.35">
      <c r="A360" s="22">
        <v>77010000151</v>
      </c>
      <c r="B360" s="22">
        <v>4</v>
      </c>
      <c r="C360" s="23" t="s">
        <v>0</v>
      </c>
      <c r="D360" s="22">
        <v>18.29</v>
      </c>
      <c r="E360" s="39">
        <v>45</v>
      </c>
      <c r="F360">
        <f t="shared" si="15"/>
        <v>823.05</v>
      </c>
      <c r="G360">
        <f t="shared" si="17"/>
        <v>0.75</v>
      </c>
      <c r="I360">
        <f t="shared" si="16"/>
        <v>77010000151</v>
      </c>
    </row>
    <row r="361" spans="1:9" hidden="1" x14ac:dyDescent="0.35">
      <c r="A361" s="22">
        <v>77010000153</v>
      </c>
      <c r="B361" s="22">
        <v>4</v>
      </c>
      <c r="C361" s="23" t="s">
        <v>0</v>
      </c>
      <c r="D361" s="22">
        <v>18.690000000000001</v>
      </c>
      <c r="E361" s="39">
        <v>46</v>
      </c>
      <c r="F361">
        <f t="shared" si="15"/>
        <v>859.74</v>
      </c>
      <c r="G361">
        <f t="shared" si="17"/>
        <v>0.76666666666666672</v>
      </c>
      <c r="I361">
        <f t="shared" si="16"/>
        <v>77010000153</v>
      </c>
    </row>
    <row r="362" spans="1:9" hidden="1" x14ac:dyDescent="0.35">
      <c r="A362" s="22">
        <v>77010000174</v>
      </c>
      <c r="B362" s="22">
        <v>5</v>
      </c>
      <c r="C362" s="23" t="s">
        <v>0</v>
      </c>
      <c r="D362" s="22">
        <v>0</v>
      </c>
      <c r="E362" s="39">
        <v>0</v>
      </c>
      <c r="F362">
        <f t="shared" si="15"/>
        <v>0</v>
      </c>
      <c r="G362">
        <f t="shared" si="17"/>
        <v>0</v>
      </c>
      <c r="I362">
        <f t="shared" si="16"/>
        <v>77010000174</v>
      </c>
    </row>
    <row r="363" spans="1:9" hidden="1" x14ac:dyDescent="0.35">
      <c r="A363" s="22">
        <v>77010000181</v>
      </c>
      <c r="B363" s="22">
        <v>5</v>
      </c>
      <c r="C363" s="23" t="s">
        <v>0</v>
      </c>
      <c r="D363" s="22">
        <v>0</v>
      </c>
      <c r="E363" s="39">
        <v>0</v>
      </c>
      <c r="F363">
        <f t="shared" si="15"/>
        <v>0</v>
      </c>
      <c r="G363">
        <f t="shared" si="17"/>
        <v>0</v>
      </c>
      <c r="I363">
        <f t="shared" si="16"/>
        <v>77010000181</v>
      </c>
    </row>
    <row r="364" spans="1:9" hidden="1" x14ac:dyDescent="0.35">
      <c r="A364" s="22">
        <v>77010000162</v>
      </c>
      <c r="B364" s="22">
        <v>5</v>
      </c>
      <c r="C364" s="23" t="s">
        <v>0</v>
      </c>
      <c r="D364" s="22">
        <v>0.43</v>
      </c>
      <c r="E364" s="39">
        <v>1</v>
      </c>
      <c r="F364">
        <f t="shared" si="15"/>
        <v>0.43</v>
      </c>
      <c r="G364">
        <f t="shared" si="17"/>
        <v>1.6666666666666666E-2</v>
      </c>
      <c r="I364">
        <f t="shared" si="16"/>
        <v>77010000162</v>
      </c>
    </row>
    <row r="365" spans="1:9" hidden="1" x14ac:dyDescent="0.35">
      <c r="A365" s="22">
        <v>77010000165</v>
      </c>
      <c r="B365" s="22">
        <v>5</v>
      </c>
      <c r="C365" s="23" t="s">
        <v>0</v>
      </c>
      <c r="D365" s="22">
        <v>0.43</v>
      </c>
      <c r="E365" s="39">
        <v>1</v>
      </c>
      <c r="F365">
        <f t="shared" si="15"/>
        <v>0.43</v>
      </c>
      <c r="G365">
        <f t="shared" si="17"/>
        <v>1.6666666666666666E-2</v>
      </c>
      <c r="I365">
        <f t="shared" si="16"/>
        <v>77010000165</v>
      </c>
    </row>
    <row r="366" spans="1:9" hidden="1" x14ac:dyDescent="0.35">
      <c r="A366" s="22">
        <v>77010000166</v>
      </c>
      <c r="B366" s="22">
        <v>5</v>
      </c>
      <c r="C366" s="23" t="s">
        <v>1</v>
      </c>
      <c r="D366" s="22">
        <v>7.43</v>
      </c>
      <c r="E366" s="39">
        <v>1</v>
      </c>
      <c r="F366">
        <f t="shared" si="15"/>
        <v>7.43</v>
      </c>
      <c r="G366">
        <f t="shared" si="17"/>
        <v>1.6666666666666666E-2</v>
      </c>
      <c r="I366">
        <f t="shared" si="16"/>
        <v>77010000166</v>
      </c>
    </row>
    <row r="367" spans="1:9" hidden="1" x14ac:dyDescent="0.35">
      <c r="A367" s="22">
        <v>77010000170</v>
      </c>
      <c r="B367" s="22">
        <v>5</v>
      </c>
      <c r="C367" s="23" t="s">
        <v>0</v>
      </c>
      <c r="D367" s="22">
        <v>0.43</v>
      </c>
      <c r="E367" s="39">
        <v>1</v>
      </c>
      <c r="F367">
        <f t="shared" si="15"/>
        <v>0.43</v>
      </c>
      <c r="G367">
        <f t="shared" si="17"/>
        <v>1.6666666666666666E-2</v>
      </c>
      <c r="I367">
        <f t="shared" si="16"/>
        <v>77010000170</v>
      </c>
    </row>
    <row r="368" spans="1:9" hidden="1" x14ac:dyDescent="0.35">
      <c r="A368" s="22">
        <v>77010000175</v>
      </c>
      <c r="B368" s="22">
        <v>5</v>
      </c>
      <c r="C368" s="23" t="s">
        <v>0</v>
      </c>
      <c r="D368" s="22">
        <v>0.43</v>
      </c>
      <c r="E368" s="39">
        <v>1</v>
      </c>
      <c r="F368">
        <f t="shared" si="15"/>
        <v>0.43</v>
      </c>
      <c r="G368">
        <f t="shared" si="17"/>
        <v>1.6666666666666666E-2</v>
      </c>
      <c r="I368">
        <f t="shared" si="16"/>
        <v>77010000175</v>
      </c>
    </row>
    <row r="369" spans="1:9" hidden="1" x14ac:dyDescent="0.35">
      <c r="A369" s="22">
        <v>77010000182</v>
      </c>
      <c r="B369" s="22">
        <v>5</v>
      </c>
      <c r="C369" s="23" t="s">
        <v>0</v>
      </c>
      <c r="D369" s="22">
        <v>0.43</v>
      </c>
      <c r="E369" s="39">
        <v>1</v>
      </c>
      <c r="F369">
        <f t="shared" si="15"/>
        <v>0.43</v>
      </c>
      <c r="G369">
        <f t="shared" si="17"/>
        <v>1.6666666666666666E-2</v>
      </c>
      <c r="I369">
        <f t="shared" si="16"/>
        <v>77010000182</v>
      </c>
    </row>
    <row r="370" spans="1:9" hidden="1" x14ac:dyDescent="0.35">
      <c r="A370" s="22">
        <v>77010000187</v>
      </c>
      <c r="B370" s="22">
        <v>5</v>
      </c>
      <c r="C370" s="23" t="s">
        <v>0</v>
      </c>
      <c r="D370" s="22">
        <v>0.43</v>
      </c>
      <c r="E370" s="39">
        <v>1</v>
      </c>
      <c r="F370">
        <f t="shared" si="15"/>
        <v>0.43</v>
      </c>
      <c r="G370">
        <f t="shared" si="17"/>
        <v>1.6666666666666666E-2</v>
      </c>
      <c r="I370">
        <f t="shared" si="16"/>
        <v>77010000187</v>
      </c>
    </row>
    <row r="371" spans="1:9" hidden="1" x14ac:dyDescent="0.35">
      <c r="A371" s="22">
        <v>77010000193</v>
      </c>
      <c r="B371" s="22">
        <v>5</v>
      </c>
      <c r="C371" s="23" t="s">
        <v>0</v>
      </c>
      <c r="D371" s="22">
        <v>0.43</v>
      </c>
      <c r="E371" s="39">
        <v>1</v>
      </c>
      <c r="F371">
        <f t="shared" si="15"/>
        <v>0.43</v>
      </c>
      <c r="G371">
        <f t="shared" si="17"/>
        <v>1.6666666666666666E-2</v>
      </c>
      <c r="I371">
        <f t="shared" si="16"/>
        <v>77010000193</v>
      </c>
    </row>
    <row r="372" spans="1:9" hidden="1" x14ac:dyDescent="0.35">
      <c r="A372" s="22">
        <v>77010000195</v>
      </c>
      <c r="B372" s="22">
        <v>5</v>
      </c>
      <c r="C372" s="23" t="s">
        <v>0</v>
      </c>
      <c r="D372" s="22">
        <v>0.43</v>
      </c>
      <c r="E372" s="39">
        <v>1</v>
      </c>
      <c r="F372">
        <f t="shared" si="15"/>
        <v>0.43</v>
      </c>
      <c r="G372">
        <f t="shared" si="17"/>
        <v>1.6666666666666666E-2</v>
      </c>
      <c r="I372">
        <f t="shared" si="16"/>
        <v>77010000195</v>
      </c>
    </row>
    <row r="373" spans="1:9" hidden="1" x14ac:dyDescent="0.35">
      <c r="A373" s="22">
        <v>77010000198</v>
      </c>
      <c r="B373" s="22">
        <v>5</v>
      </c>
      <c r="C373" s="23" t="s">
        <v>0</v>
      </c>
      <c r="D373" s="22">
        <v>0.43</v>
      </c>
      <c r="E373" s="39">
        <v>1</v>
      </c>
      <c r="F373">
        <f t="shared" si="15"/>
        <v>0.43</v>
      </c>
      <c r="G373">
        <f t="shared" si="17"/>
        <v>1.6666666666666666E-2</v>
      </c>
      <c r="I373">
        <f t="shared" si="16"/>
        <v>77010000198</v>
      </c>
    </row>
    <row r="374" spans="1:9" hidden="1" x14ac:dyDescent="0.35">
      <c r="A374" s="22">
        <v>77010000171</v>
      </c>
      <c r="B374" s="22">
        <v>5</v>
      </c>
      <c r="C374" s="23" t="s">
        <v>0</v>
      </c>
      <c r="D374" s="22">
        <v>0</v>
      </c>
      <c r="E374" s="39">
        <v>1</v>
      </c>
      <c r="F374">
        <f t="shared" si="15"/>
        <v>0</v>
      </c>
      <c r="G374">
        <f t="shared" si="17"/>
        <v>1.6666666666666666E-2</v>
      </c>
      <c r="I374">
        <f t="shared" si="16"/>
        <v>77010000171</v>
      </c>
    </row>
    <row r="375" spans="1:9" hidden="1" x14ac:dyDescent="0.35">
      <c r="A375" s="22">
        <v>77010000173</v>
      </c>
      <c r="B375" s="22">
        <v>5</v>
      </c>
      <c r="C375" s="23" t="s">
        <v>0</v>
      </c>
      <c r="D375" s="22">
        <v>0.43</v>
      </c>
      <c r="E375" s="39">
        <v>1</v>
      </c>
      <c r="F375">
        <f t="shared" si="15"/>
        <v>0.43</v>
      </c>
      <c r="G375">
        <f t="shared" si="17"/>
        <v>1.6666666666666666E-2</v>
      </c>
      <c r="I375">
        <f t="shared" si="16"/>
        <v>77010000173</v>
      </c>
    </row>
    <row r="376" spans="1:9" hidden="1" x14ac:dyDescent="0.35">
      <c r="A376" s="22">
        <v>77010000185</v>
      </c>
      <c r="B376" s="22">
        <v>5</v>
      </c>
      <c r="C376" s="23" t="s">
        <v>0</v>
      </c>
      <c r="D376" s="22">
        <v>0.43</v>
      </c>
      <c r="E376" s="39">
        <v>1</v>
      </c>
      <c r="F376">
        <f t="shared" si="15"/>
        <v>0.43</v>
      </c>
      <c r="G376">
        <f t="shared" si="17"/>
        <v>1.6666666666666666E-2</v>
      </c>
      <c r="I376">
        <f t="shared" si="16"/>
        <v>77010000185</v>
      </c>
    </row>
    <row r="377" spans="1:9" hidden="1" x14ac:dyDescent="0.35">
      <c r="A377" s="22">
        <v>77010000193</v>
      </c>
      <c r="B377" s="22">
        <v>5</v>
      </c>
      <c r="C377" s="23" t="s">
        <v>1</v>
      </c>
      <c r="D377" s="22">
        <v>7.43</v>
      </c>
      <c r="E377" s="39">
        <v>1</v>
      </c>
      <c r="F377">
        <f t="shared" si="15"/>
        <v>7.43</v>
      </c>
      <c r="G377">
        <f t="shared" si="17"/>
        <v>1.6666666666666666E-2</v>
      </c>
      <c r="I377">
        <f t="shared" si="16"/>
        <v>77010000193</v>
      </c>
    </row>
    <row r="378" spans="1:9" hidden="1" x14ac:dyDescent="0.35">
      <c r="A378" s="22">
        <v>77010000205</v>
      </c>
      <c r="B378" s="22">
        <v>5</v>
      </c>
      <c r="C378" s="23" t="s">
        <v>0</v>
      </c>
      <c r="D378" s="22">
        <v>0.43</v>
      </c>
      <c r="E378" s="39">
        <v>1</v>
      </c>
      <c r="F378">
        <f t="shared" si="15"/>
        <v>0.43</v>
      </c>
      <c r="G378">
        <f t="shared" si="17"/>
        <v>1.6666666666666666E-2</v>
      </c>
      <c r="I378">
        <f t="shared" si="16"/>
        <v>77010000205</v>
      </c>
    </row>
    <row r="379" spans="1:9" hidden="1" x14ac:dyDescent="0.35">
      <c r="A379" s="22">
        <v>77010000192</v>
      </c>
      <c r="B379" s="22">
        <v>5</v>
      </c>
      <c r="C379" s="23" t="s">
        <v>0</v>
      </c>
      <c r="D379" s="22">
        <v>0.43</v>
      </c>
      <c r="E379" s="39">
        <v>1</v>
      </c>
      <c r="F379">
        <f t="shared" si="15"/>
        <v>0.43</v>
      </c>
      <c r="G379">
        <f t="shared" si="17"/>
        <v>1.6666666666666666E-2</v>
      </c>
      <c r="I379">
        <f t="shared" si="16"/>
        <v>77010000192</v>
      </c>
    </row>
    <row r="380" spans="1:9" hidden="1" x14ac:dyDescent="0.35">
      <c r="A380" s="22">
        <v>77010000224</v>
      </c>
      <c r="B380" s="22">
        <v>5</v>
      </c>
      <c r="C380" s="23" t="s">
        <v>0</v>
      </c>
      <c r="D380" s="22">
        <v>0.43</v>
      </c>
      <c r="E380" s="39">
        <v>1</v>
      </c>
      <c r="F380">
        <f t="shared" si="15"/>
        <v>0.43</v>
      </c>
      <c r="G380">
        <f t="shared" si="17"/>
        <v>1.6666666666666666E-2</v>
      </c>
      <c r="H380" s="2">
        <f>SUMIF(B:B, VLOOKUP(77010000055, 'База данных'!A:B, 2, 0),E:E)</f>
        <v>2705</v>
      </c>
      <c r="I380">
        <f t="shared" si="16"/>
        <v>77010000224</v>
      </c>
    </row>
    <row r="381" spans="1:9" hidden="1" x14ac:dyDescent="0.35">
      <c r="A381" s="22">
        <v>77010000227</v>
      </c>
      <c r="B381" s="22">
        <v>5</v>
      </c>
      <c r="C381" s="23" t="s">
        <v>0</v>
      </c>
      <c r="D381" s="22">
        <v>0.43</v>
      </c>
      <c r="E381" s="39">
        <v>1</v>
      </c>
      <c r="F381">
        <f t="shared" si="15"/>
        <v>0.43</v>
      </c>
      <c r="G381">
        <f t="shared" si="17"/>
        <v>1.6666666666666666E-2</v>
      </c>
      <c r="I381">
        <f t="shared" si="16"/>
        <v>77010000227</v>
      </c>
    </row>
    <row r="382" spans="1:9" hidden="1" x14ac:dyDescent="0.35">
      <c r="A382" s="22">
        <v>77010000209</v>
      </c>
      <c r="B382" s="22">
        <v>5</v>
      </c>
      <c r="C382" s="23" t="s">
        <v>0</v>
      </c>
      <c r="D382" s="22">
        <v>0.43</v>
      </c>
      <c r="E382" s="39">
        <v>1</v>
      </c>
      <c r="F382">
        <f t="shared" si="15"/>
        <v>0.43</v>
      </c>
      <c r="G382">
        <f t="shared" si="17"/>
        <v>1.6666666666666666E-2</v>
      </c>
      <c r="I382">
        <f t="shared" si="16"/>
        <v>77010000209</v>
      </c>
    </row>
    <row r="383" spans="1:9" hidden="1" x14ac:dyDescent="0.35">
      <c r="A383" s="22">
        <v>77010000216</v>
      </c>
      <c r="B383" s="22">
        <v>5</v>
      </c>
      <c r="C383" s="23" t="s">
        <v>0</v>
      </c>
      <c r="D383" s="22">
        <v>0.43</v>
      </c>
      <c r="E383" s="39">
        <v>1</v>
      </c>
      <c r="F383">
        <f t="shared" si="15"/>
        <v>0.43</v>
      </c>
      <c r="G383">
        <f t="shared" si="17"/>
        <v>1.6666666666666666E-2</v>
      </c>
      <c r="I383">
        <f t="shared" si="16"/>
        <v>77010000216</v>
      </c>
    </row>
    <row r="384" spans="1:9" hidden="1" x14ac:dyDescent="0.35">
      <c r="A384" s="22">
        <v>77010000236</v>
      </c>
      <c r="B384" s="22">
        <v>5</v>
      </c>
      <c r="C384" s="23" t="s">
        <v>0</v>
      </c>
      <c r="D384" s="22">
        <v>0.43</v>
      </c>
      <c r="E384" s="39">
        <v>1</v>
      </c>
      <c r="F384">
        <f t="shared" si="15"/>
        <v>0.43</v>
      </c>
      <c r="G384">
        <f t="shared" si="17"/>
        <v>1.6666666666666666E-2</v>
      </c>
      <c r="I384">
        <f t="shared" si="16"/>
        <v>77010000236</v>
      </c>
    </row>
    <row r="385" spans="1:9" hidden="1" x14ac:dyDescent="0.35">
      <c r="A385" s="22">
        <v>77010000235</v>
      </c>
      <c r="B385" s="22">
        <v>5</v>
      </c>
      <c r="C385" s="23" t="s">
        <v>0</v>
      </c>
      <c r="D385" s="22">
        <v>0.43</v>
      </c>
      <c r="E385" s="39">
        <v>1</v>
      </c>
      <c r="F385">
        <f t="shared" si="15"/>
        <v>0.43</v>
      </c>
      <c r="G385">
        <f t="shared" si="17"/>
        <v>1.6666666666666666E-2</v>
      </c>
      <c r="I385">
        <f t="shared" si="16"/>
        <v>77010000235</v>
      </c>
    </row>
    <row r="386" spans="1:9" hidden="1" x14ac:dyDescent="0.35">
      <c r="A386" s="22">
        <v>77010000165</v>
      </c>
      <c r="B386" s="22">
        <v>5</v>
      </c>
      <c r="C386" s="23" t="s">
        <v>0</v>
      </c>
      <c r="D386" s="22">
        <v>0.85</v>
      </c>
      <c r="E386" s="39">
        <v>2</v>
      </c>
      <c r="F386">
        <f t="shared" ref="F386:F449" si="18">D386*E386</f>
        <v>1.7</v>
      </c>
      <c r="G386">
        <f t="shared" si="17"/>
        <v>3.3333333333333333E-2</v>
      </c>
      <c r="I386">
        <f t="shared" ref="I386:I449" si="19">_xlfn.UNIQUE(A386,$A:$A,A386)</f>
        <v>77010000165</v>
      </c>
    </row>
    <row r="387" spans="1:9" hidden="1" x14ac:dyDescent="0.35">
      <c r="A387" s="22">
        <v>77010000163</v>
      </c>
      <c r="B387" s="22">
        <v>5</v>
      </c>
      <c r="C387" s="23" t="s">
        <v>2</v>
      </c>
      <c r="D387" s="22">
        <v>7.43</v>
      </c>
      <c r="E387" s="39">
        <v>2</v>
      </c>
      <c r="F387">
        <f t="shared" si="18"/>
        <v>14.86</v>
      </c>
      <c r="G387">
        <f t="shared" ref="G387:G450" si="20">E387/60</f>
        <v>3.3333333333333333E-2</v>
      </c>
      <c r="I387">
        <f t="shared" si="19"/>
        <v>77010000163</v>
      </c>
    </row>
    <row r="388" spans="1:9" hidden="1" x14ac:dyDescent="0.35">
      <c r="A388" s="22">
        <v>77010000173</v>
      </c>
      <c r="B388" s="22">
        <v>5</v>
      </c>
      <c r="C388" s="23" t="s">
        <v>0</v>
      </c>
      <c r="D388" s="22">
        <v>0.85</v>
      </c>
      <c r="E388" s="39">
        <v>2</v>
      </c>
      <c r="F388">
        <f t="shared" si="18"/>
        <v>1.7</v>
      </c>
      <c r="G388">
        <f t="shared" si="20"/>
        <v>3.3333333333333333E-2</v>
      </c>
      <c r="H388" t="e" cm="1">
        <f t="array" ref="H388">G</f>
        <v>#NAME?</v>
      </c>
      <c r="I388">
        <f t="shared" si="19"/>
        <v>77010000173</v>
      </c>
    </row>
    <row r="389" spans="1:9" hidden="1" x14ac:dyDescent="0.35">
      <c r="A389" s="22">
        <v>77010000177</v>
      </c>
      <c r="B389" s="22">
        <v>5</v>
      </c>
      <c r="C389" s="23" t="s">
        <v>0</v>
      </c>
      <c r="D389" s="22">
        <v>0.85</v>
      </c>
      <c r="E389" s="39">
        <v>2</v>
      </c>
      <c r="F389">
        <f t="shared" si="18"/>
        <v>1.7</v>
      </c>
      <c r="G389">
        <f t="shared" si="20"/>
        <v>3.3333333333333333E-2</v>
      </c>
      <c r="I389">
        <f t="shared" si="19"/>
        <v>77010000177</v>
      </c>
    </row>
    <row r="390" spans="1:9" hidden="1" x14ac:dyDescent="0.35">
      <c r="A390" s="22">
        <v>77010000186</v>
      </c>
      <c r="B390" s="22">
        <v>5</v>
      </c>
      <c r="C390" s="23" t="s">
        <v>0</v>
      </c>
      <c r="D390" s="22">
        <v>0.85</v>
      </c>
      <c r="E390" s="39">
        <v>2</v>
      </c>
      <c r="F390">
        <f t="shared" si="18"/>
        <v>1.7</v>
      </c>
      <c r="G390">
        <f t="shared" si="20"/>
        <v>3.3333333333333333E-2</v>
      </c>
      <c r="I390">
        <f t="shared" si="19"/>
        <v>77010000186</v>
      </c>
    </row>
    <row r="391" spans="1:9" hidden="1" x14ac:dyDescent="0.35">
      <c r="A391" s="22">
        <v>77010000189</v>
      </c>
      <c r="B391" s="22">
        <v>5</v>
      </c>
      <c r="C391" s="23" t="s">
        <v>0</v>
      </c>
      <c r="D391" s="22">
        <v>0.85</v>
      </c>
      <c r="E391" s="39">
        <v>2</v>
      </c>
      <c r="F391">
        <f t="shared" si="18"/>
        <v>1.7</v>
      </c>
      <c r="G391">
        <f t="shared" si="20"/>
        <v>3.3333333333333333E-2</v>
      </c>
      <c r="I391">
        <f t="shared" si="19"/>
        <v>77010000189</v>
      </c>
    </row>
    <row r="392" spans="1:9" hidden="1" x14ac:dyDescent="0.35">
      <c r="A392" s="22">
        <v>77010000187</v>
      </c>
      <c r="B392" s="22">
        <v>5</v>
      </c>
      <c r="C392" s="23" t="s">
        <v>0</v>
      </c>
      <c r="D392" s="22">
        <v>0.85</v>
      </c>
      <c r="E392" s="39">
        <v>2</v>
      </c>
      <c r="F392">
        <f t="shared" si="18"/>
        <v>1.7</v>
      </c>
      <c r="G392">
        <f t="shared" si="20"/>
        <v>3.3333333333333333E-2</v>
      </c>
      <c r="I392">
        <f t="shared" si="19"/>
        <v>77010000187</v>
      </c>
    </row>
    <row r="393" spans="1:9" hidden="1" x14ac:dyDescent="0.35">
      <c r="A393" s="22">
        <v>77010000192</v>
      </c>
      <c r="B393" s="22">
        <v>5</v>
      </c>
      <c r="C393" s="23" t="s">
        <v>0</v>
      </c>
      <c r="D393" s="22">
        <v>0.85</v>
      </c>
      <c r="E393" s="39">
        <v>2</v>
      </c>
      <c r="F393">
        <f t="shared" si="18"/>
        <v>1.7</v>
      </c>
      <c r="G393">
        <f t="shared" si="20"/>
        <v>3.3333333333333333E-2</v>
      </c>
      <c r="I393">
        <f t="shared" si="19"/>
        <v>77010000192</v>
      </c>
    </row>
    <row r="394" spans="1:9" hidden="1" x14ac:dyDescent="0.35">
      <c r="A394" s="22">
        <v>77010000237</v>
      </c>
      <c r="B394" s="22">
        <v>5</v>
      </c>
      <c r="C394" s="23" t="s">
        <v>0</v>
      </c>
      <c r="D394" s="22">
        <v>0.85</v>
      </c>
      <c r="E394" s="39">
        <v>2</v>
      </c>
      <c r="F394">
        <f t="shared" si="18"/>
        <v>1.7</v>
      </c>
      <c r="G394">
        <f t="shared" si="20"/>
        <v>3.3333333333333333E-2</v>
      </c>
      <c r="I394">
        <f t="shared" si="19"/>
        <v>77010000237</v>
      </c>
    </row>
    <row r="395" spans="1:9" hidden="1" x14ac:dyDescent="0.35">
      <c r="A395" s="22">
        <v>77010000237</v>
      </c>
      <c r="B395" s="22">
        <v>5</v>
      </c>
      <c r="C395" s="23" t="s">
        <v>0</v>
      </c>
      <c r="D395" s="22">
        <v>0.85</v>
      </c>
      <c r="E395" s="39">
        <v>2</v>
      </c>
      <c r="F395">
        <f t="shared" si="18"/>
        <v>1.7</v>
      </c>
      <c r="G395">
        <f t="shared" si="20"/>
        <v>3.3333333333333333E-2</v>
      </c>
      <c r="I395">
        <f t="shared" si="19"/>
        <v>77010000237</v>
      </c>
    </row>
    <row r="396" spans="1:9" hidden="1" x14ac:dyDescent="0.35">
      <c r="A396" s="22">
        <v>77010000168</v>
      </c>
      <c r="B396" s="22">
        <v>5</v>
      </c>
      <c r="C396" s="23" t="s">
        <v>0</v>
      </c>
      <c r="D396" s="22">
        <v>1.28</v>
      </c>
      <c r="E396" s="39">
        <v>3</v>
      </c>
      <c r="F396">
        <f t="shared" si="18"/>
        <v>3.84</v>
      </c>
      <c r="G396">
        <f t="shared" si="20"/>
        <v>0.05</v>
      </c>
      <c r="I396">
        <f t="shared" si="19"/>
        <v>77010000168</v>
      </c>
    </row>
    <row r="397" spans="1:9" hidden="1" x14ac:dyDescent="0.35">
      <c r="A397" s="22">
        <v>77010000171</v>
      </c>
      <c r="B397" s="22">
        <v>5</v>
      </c>
      <c r="C397" s="23" t="s">
        <v>0</v>
      </c>
      <c r="D397" s="22">
        <v>1.28</v>
      </c>
      <c r="E397" s="39">
        <v>3</v>
      </c>
      <c r="F397">
        <f t="shared" si="18"/>
        <v>3.84</v>
      </c>
      <c r="G397">
        <f t="shared" si="20"/>
        <v>0.05</v>
      </c>
      <c r="I397">
        <f t="shared" si="19"/>
        <v>77010000171</v>
      </c>
    </row>
    <row r="398" spans="1:9" hidden="1" x14ac:dyDescent="0.35">
      <c r="A398" s="22">
        <v>77010000185</v>
      </c>
      <c r="B398" s="22">
        <v>5</v>
      </c>
      <c r="C398" s="23" t="s">
        <v>0</v>
      </c>
      <c r="D398" s="22">
        <v>1.28</v>
      </c>
      <c r="E398" s="39">
        <v>3</v>
      </c>
      <c r="F398">
        <f t="shared" si="18"/>
        <v>3.84</v>
      </c>
      <c r="G398">
        <f t="shared" si="20"/>
        <v>0.05</v>
      </c>
      <c r="I398">
        <f t="shared" si="19"/>
        <v>77010000185</v>
      </c>
    </row>
    <row r="399" spans="1:9" hidden="1" x14ac:dyDescent="0.35">
      <c r="A399" s="22">
        <v>77010000199</v>
      </c>
      <c r="B399" s="22">
        <v>5</v>
      </c>
      <c r="C399" s="23" t="s">
        <v>0</v>
      </c>
      <c r="D399" s="22">
        <v>1.28</v>
      </c>
      <c r="E399" s="39">
        <v>3</v>
      </c>
      <c r="F399">
        <f t="shared" si="18"/>
        <v>3.84</v>
      </c>
      <c r="G399">
        <f t="shared" si="20"/>
        <v>0.05</v>
      </c>
      <c r="I399">
        <f t="shared" si="19"/>
        <v>77010000199</v>
      </c>
    </row>
    <row r="400" spans="1:9" hidden="1" x14ac:dyDescent="0.35">
      <c r="A400" s="22">
        <v>77010000223</v>
      </c>
      <c r="B400" s="22">
        <v>5</v>
      </c>
      <c r="C400" s="23" t="s">
        <v>0</v>
      </c>
      <c r="D400" s="22">
        <v>1.28</v>
      </c>
      <c r="E400" s="39">
        <v>3</v>
      </c>
      <c r="F400">
        <f t="shared" si="18"/>
        <v>3.84</v>
      </c>
      <c r="G400">
        <f t="shared" si="20"/>
        <v>0.05</v>
      </c>
      <c r="I400">
        <f t="shared" si="19"/>
        <v>77010000223</v>
      </c>
    </row>
    <row r="401" spans="1:9" hidden="1" x14ac:dyDescent="0.35">
      <c r="A401" s="22">
        <v>77010000234</v>
      </c>
      <c r="B401" s="22">
        <v>5</v>
      </c>
      <c r="C401" s="23" t="s">
        <v>0</v>
      </c>
      <c r="D401" s="22">
        <v>0</v>
      </c>
      <c r="E401" s="39">
        <v>3</v>
      </c>
      <c r="F401">
        <f t="shared" si="18"/>
        <v>0</v>
      </c>
      <c r="G401">
        <f t="shared" si="20"/>
        <v>0.05</v>
      </c>
      <c r="I401">
        <f t="shared" si="19"/>
        <v>77010000234</v>
      </c>
    </row>
    <row r="402" spans="1:9" hidden="1" x14ac:dyDescent="0.35">
      <c r="A402" s="22">
        <v>77010000164</v>
      </c>
      <c r="B402" s="22">
        <v>5</v>
      </c>
      <c r="C402" s="23" t="s">
        <v>0</v>
      </c>
      <c r="D402" s="22">
        <v>1.7</v>
      </c>
      <c r="E402" s="39">
        <v>4</v>
      </c>
      <c r="F402">
        <f t="shared" si="18"/>
        <v>6.8</v>
      </c>
      <c r="G402">
        <f t="shared" si="20"/>
        <v>6.6666666666666666E-2</v>
      </c>
      <c r="I402">
        <f t="shared" si="19"/>
        <v>77010000164</v>
      </c>
    </row>
    <row r="403" spans="1:9" hidden="1" x14ac:dyDescent="0.35">
      <c r="A403" s="22">
        <v>77010000164</v>
      </c>
      <c r="B403" s="22">
        <v>5</v>
      </c>
      <c r="C403" s="23" t="s">
        <v>0</v>
      </c>
      <c r="D403" s="22">
        <v>1.7</v>
      </c>
      <c r="E403" s="39">
        <v>4</v>
      </c>
      <c r="F403">
        <f t="shared" si="18"/>
        <v>6.8</v>
      </c>
      <c r="G403">
        <f t="shared" si="20"/>
        <v>6.6666666666666666E-2</v>
      </c>
      <c r="I403">
        <f t="shared" si="19"/>
        <v>77010000164</v>
      </c>
    </row>
    <row r="404" spans="1:9" hidden="1" x14ac:dyDescent="0.35">
      <c r="A404" s="22">
        <v>77010000169</v>
      </c>
      <c r="B404" s="22">
        <v>5</v>
      </c>
      <c r="C404" s="23" t="s">
        <v>0</v>
      </c>
      <c r="D404" s="22">
        <v>1.7</v>
      </c>
      <c r="E404" s="39">
        <v>4</v>
      </c>
      <c r="F404">
        <f t="shared" si="18"/>
        <v>6.8</v>
      </c>
      <c r="G404">
        <f t="shared" si="20"/>
        <v>6.6666666666666666E-2</v>
      </c>
      <c r="I404">
        <f t="shared" si="19"/>
        <v>77010000169</v>
      </c>
    </row>
    <row r="405" spans="1:9" hidden="1" x14ac:dyDescent="0.35">
      <c r="A405" s="22">
        <v>77010000172</v>
      </c>
      <c r="B405" s="22">
        <v>5</v>
      </c>
      <c r="C405" s="23" t="s">
        <v>0</v>
      </c>
      <c r="D405" s="22">
        <v>1.7</v>
      </c>
      <c r="E405" s="39">
        <v>4</v>
      </c>
      <c r="F405">
        <f t="shared" si="18"/>
        <v>6.8</v>
      </c>
      <c r="G405">
        <f t="shared" si="20"/>
        <v>6.6666666666666666E-2</v>
      </c>
      <c r="I405">
        <f t="shared" si="19"/>
        <v>77010000172</v>
      </c>
    </row>
    <row r="406" spans="1:9" hidden="1" x14ac:dyDescent="0.35">
      <c r="A406" s="22">
        <v>77010000180</v>
      </c>
      <c r="B406" s="22">
        <v>5</v>
      </c>
      <c r="C406" s="23" t="s">
        <v>0</v>
      </c>
      <c r="D406" s="22">
        <v>1.7</v>
      </c>
      <c r="E406" s="39">
        <v>4</v>
      </c>
      <c r="F406">
        <f t="shared" si="18"/>
        <v>6.8</v>
      </c>
      <c r="G406">
        <f t="shared" si="20"/>
        <v>6.6666666666666666E-2</v>
      </c>
      <c r="I406">
        <f t="shared" si="19"/>
        <v>77010000180</v>
      </c>
    </row>
    <row r="407" spans="1:9" hidden="1" x14ac:dyDescent="0.35">
      <c r="A407" s="22">
        <v>77010000191</v>
      </c>
      <c r="B407" s="22">
        <v>5</v>
      </c>
      <c r="C407" s="23" t="s">
        <v>1</v>
      </c>
      <c r="D407" s="22">
        <v>7.43</v>
      </c>
      <c r="E407" s="39">
        <v>4</v>
      </c>
      <c r="F407">
        <f t="shared" si="18"/>
        <v>29.72</v>
      </c>
      <c r="G407">
        <f t="shared" si="20"/>
        <v>6.6666666666666666E-2</v>
      </c>
      <c r="I407">
        <f t="shared" si="19"/>
        <v>77010000191</v>
      </c>
    </row>
    <row r="408" spans="1:9" hidden="1" x14ac:dyDescent="0.35">
      <c r="A408" s="22">
        <v>77010000196</v>
      </c>
      <c r="B408" s="22">
        <v>5</v>
      </c>
      <c r="C408" s="23" t="s">
        <v>0</v>
      </c>
      <c r="D408" s="22">
        <v>1.7</v>
      </c>
      <c r="E408" s="39">
        <v>4</v>
      </c>
      <c r="F408">
        <f t="shared" si="18"/>
        <v>6.8</v>
      </c>
      <c r="G408">
        <f t="shared" si="20"/>
        <v>6.6666666666666666E-2</v>
      </c>
      <c r="I408">
        <f t="shared" si="19"/>
        <v>77010000196</v>
      </c>
    </row>
    <row r="409" spans="1:9" hidden="1" x14ac:dyDescent="0.35">
      <c r="A409" s="22">
        <v>77010000169</v>
      </c>
      <c r="B409" s="22">
        <v>5</v>
      </c>
      <c r="C409" s="23" t="s">
        <v>0</v>
      </c>
      <c r="D409" s="22">
        <v>1.7</v>
      </c>
      <c r="E409" s="39">
        <v>4</v>
      </c>
      <c r="F409">
        <f t="shared" si="18"/>
        <v>6.8</v>
      </c>
      <c r="G409">
        <f t="shared" si="20"/>
        <v>6.6666666666666666E-2</v>
      </c>
      <c r="I409">
        <f t="shared" si="19"/>
        <v>77010000169</v>
      </c>
    </row>
    <row r="410" spans="1:9" hidden="1" x14ac:dyDescent="0.35">
      <c r="A410" s="22">
        <v>77010000195</v>
      </c>
      <c r="B410" s="22">
        <v>5</v>
      </c>
      <c r="C410" s="23" t="s">
        <v>0</v>
      </c>
      <c r="D410" s="22">
        <v>1.7</v>
      </c>
      <c r="E410" s="39">
        <v>4</v>
      </c>
      <c r="F410">
        <f t="shared" si="18"/>
        <v>6.8</v>
      </c>
      <c r="G410">
        <f t="shared" si="20"/>
        <v>6.6666666666666666E-2</v>
      </c>
      <c r="I410">
        <f t="shared" si="19"/>
        <v>77010000195</v>
      </c>
    </row>
    <row r="411" spans="1:9" hidden="1" x14ac:dyDescent="0.35">
      <c r="A411" s="22">
        <v>77010000162</v>
      </c>
      <c r="B411" s="22">
        <v>5</v>
      </c>
      <c r="C411" s="23" t="s">
        <v>0</v>
      </c>
      <c r="D411" s="22">
        <v>2.13</v>
      </c>
      <c r="E411" s="39">
        <v>5</v>
      </c>
      <c r="F411">
        <f t="shared" si="18"/>
        <v>10.649999999999999</v>
      </c>
      <c r="G411">
        <f t="shared" si="20"/>
        <v>8.3333333333333329E-2</v>
      </c>
      <c r="I411">
        <f t="shared" si="19"/>
        <v>77010000162</v>
      </c>
    </row>
    <row r="412" spans="1:9" hidden="1" x14ac:dyDescent="0.35">
      <c r="A412" s="22">
        <v>77010000167</v>
      </c>
      <c r="B412" s="22">
        <v>5</v>
      </c>
      <c r="C412" s="23" t="s">
        <v>0</v>
      </c>
      <c r="D412" s="22">
        <v>2.13</v>
      </c>
      <c r="E412" s="39">
        <v>5</v>
      </c>
      <c r="F412">
        <f t="shared" si="18"/>
        <v>10.649999999999999</v>
      </c>
      <c r="G412">
        <f t="shared" si="20"/>
        <v>8.3333333333333329E-2</v>
      </c>
      <c r="I412">
        <f t="shared" si="19"/>
        <v>77010000167</v>
      </c>
    </row>
    <row r="413" spans="1:9" hidden="1" x14ac:dyDescent="0.35">
      <c r="A413" s="22">
        <v>77010000200</v>
      </c>
      <c r="B413" s="22">
        <v>5</v>
      </c>
      <c r="C413" s="23" t="s">
        <v>0</v>
      </c>
      <c r="D413" s="22">
        <v>2.13</v>
      </c>
      <c r="E413" s="39">
        <v>5</v>
      </c>
      <c r="F413">
        <f t="shared" si="18"/>
        <v>10.649999999999999</v>
      </c>
      <c r="G413">
        <f t="shared" si="20"/>
        <v>8.3333333333333329E-2</v>
      </c>
      <c r="I413">
        <f t="shared" si="19"/>
        <v>77010000200</v>
      </c>
    </row>
    <row r="414" spans="1:9" hidden="1" x14ac:dyDescent="0.35">
      <c r="A414" s="22">
        <v>77010000184</v>
      </c>
      <c r="B414" s="22">
        <v>5</v>
      </c>
      <c r="C414" s="23" t="s">
        <v>0</v>
      </c>
      <c r="D414" s="22">
        <v>2.13</v>
      </c>
      <c r="E414" s="39">
        <v>5</v>
      </c>
      <c r="F414">
        <f t="shared" si="18"/>
        <v>10.649999999999999</v>
      </c>
      <c r="G414">
        <f t="shared" si="20"/>
        <v>8.3333333333333329E-2</v>
      </c>
      <c r="I414">
        <f t="shared" si="19"/>
        <v>77010000184</v>
      </c>
    </row>
    <row r="415" spans="1:9" hidden="1" x14ac:dyDescent="0.35">
      <c r="A415" s="22">
        <v>77010000177</v>
      </c>
      <c r="B415" s="22">
        <v>5</v>
      </c>
      <c r="C415" s="23" t="s">
        <v>0</v>
      </c>
      <c r="D415" s="22">
        <v>2.13</v>
      </c>
      <c r="E415" s="39">
        <v>5</v>
      </c>
      <c r="F415">
        <f t="shared" si="18"/>
        <v>10.649999999999999</v>
      </c>
      <c r="G415">
        <f t="shared" si="20"/>
        <v>8.3333333333333329E-2</v>
      </c>
      <c r="I415">
        <f t="shared" si="19"/>
        <v>77010000177</v>
      </c>
    </row>
    <row r="416" spans="1:9" hidden="1" x14ac:dyDescent="0.35">
      <c r="A416" s="22">
        <v>77010000193</v>
      </c>
      <c r="B416" s="22">
        <v>5</v>
      </c>
      <c r="C416" s="23" t="s">
        <v>0</v>
      </c>
      <c r="D416" s="22">
        <v>2.13</v>
      </c>
      <c r="E416" s="39">
        <v>5</v>
      </c>
      <c r="F416">
        <f t="shared" si="18"/>
        <v>10.649999999999999</v>
      </c>
      <c r="G416">
        <f t="shared" si="20"/>
        <v>8.3333333333333329E-2</v>
      </c>
      <c r="I416">
        <f t="shared" si="19"/>
        <v>77010000193</v>
      </c>
    </row>
    <row r="417" spans="1:9" hidden="1" x14ac:dyDescent="0.35">
      <c r="A417" s="22">
        <v>77010000212</v>
      </c>
      <c r="B417" s="22">
        <v>5</v>
      </c>
      <c r="C417" s="23" t="s">
        <v>0</v>
      </c>
      <c r="D417" s="22">
        <v>2.13</v>
      </c>
      <c r="E417" s="39">
        <v>5</v>
      </c>
      <c r="F417">
        <f t="shared" si="18"/>
        <v>10.649999999999999</v>
      </c>
      <c r="G417">
        <f t="shared" si="20"/>
        <v>8.3333333333333329E-2</v>
      </c>
      <c r="I417">
        <f t="shared" si="19"/>
        <v>77010000212</v>
      </c>
    </row>
    <row r="418" spans="1:9" hidden="1" x14ac:dyDescent="0.35">
      <c r="A418" s="22">
        <v>77010000235</v>
      </c>
      <c r="B418" s="22">
        <v>5</v>
      </c>
      <c r="C418" s="23" t="s">
        <v>0</v>
      </c>
      <c r="D418" s="22">
        <v>2.13</v>
      </c>
      <c r="E418" s="39">
        <v>5</v>
      </c>
      <c r="F418">
        <f t="shared" si="18"/>
        <v>10.649999999999999</v>
      </c>
      <c r="G418">
        <f t="shared" si="20"/>
        <v>8.3333333333333329E-2</v>
      </c>
      <c r="I418">
        <f t="shared" si="19"/>
        <v>77010000235</v>
      </c>
    </row>
    <row r="419" spans="1:9" hidden="1" x14ac:dyDescent="0.35">
      <c r="A419" s="22">
        <v>77010000163</v>
      </c>
      <c r="B419" s="22">
        <v>5</v>
      </c>
      <c r="C419" s="23" t="s">
        <v>0</v>
      </c>
      <c r="D419" s="22">
        <v>2.56</v>
      </c>
      <c r="E419" s="39">
        <v>6</v>
      </c>
      <c r="F419">
        <f t="shared" si="18"/>
        <v>15.36</v>
      </c>
      <c r="G419">
        <f t="shared" si="20"/>
        <v>0.1</v>
      </c>
      <c r="I419">
        <f t="shared" si="19"/>
        <v>77010000163</v>
      </c>
    </row>
    <row r="420" spans="1:9" hidden="1" x14ac:dyDescent="0.35">
      <c r="A420" s="22">
        <v>77010000170</v>
      </c>
      <c r="B420" s="22">
        <v>5</v>
      </c>
      <c r="C420" s="23" t="s">
        <v>0</v>
      </c>
      <c r="D420" s="22">
        <v>2.56</v>
      </c>
      <c r="E420" s="39">
        <v>6</v>
      </c>
      <c r="F420">
        <f t="shared" si="18"/>
        <v>15.36</v>
      </c>
      <c r="G420">
        <f t="shared" si="20"/>
        <v>0.1</v>
      </c>
      <c r="I420">
        <f t="shared" si="19"/>
        <v>77010000170</v>
      </c>
    </row>
    <row r="421" spans="1:9" hidden="1" x14ac:dyDescent="0.35">
      <c r="A421" s="22">
        <v>77010000183</v>
      </c>
      <c r="B421" s="22">
        <v>5</v>
      </c>
      <c r="C421" s="23" t="s">
        <v>0</v>
      </c>
      <c r="D421" s="22">
        <v>2.56</v>
      </c>
      <c r="E421" s="39">
        <v>6</v>
      </c>
      <c r="F421">
        <f t="shared" si="18"/>
        <v>15.36</v>
      </c>
      <c r="G421">
        <f t="shared" si="20"/>
        <v>0.1</v>
      </c>
      <c r="I421">
        <f t="shared" si="19"/>
        <v>77010000183</v>
      </c>
    </row>
    <row r="422" spans="1:9" hidden="1" x14ac:dyDescent="0.35">
      <c r="A422" s="22">
        <v>77010000190</v>
      </c>
      <c r="B422" s="22">
        <v>5</v>
      </c>
      <c r="C422" s="23" t="s">
        <v>0</v>
      </c>
      <c r="D422" s="22">
        <v>2.56</v>
      </c>
      <c r="E422" s="39">
        <v>6</v>
      </c>
      <c r="F422">
        <f t="shared" si="18"/>
        <v>15.36</v>
      </c>
      <c r="G422">
        <f t="shared" si="20"/>
        <v>0.1</v>
      </c>
      <c r="I422">
        <f t="shared" si="19"/>
        <v>77010000190</v>
      </c>
    </row>
    <row r="423" spans="1:9" hidden="1" x14ac:dyDescent="0.35">
      <c r="A423" s="22">
        <v>77010000204</v>
      </c>
      <c r="B423" s="22">
        <v>5</v>
      </c>
      <c r="C423" s="23" t="s">
        <v>0</v>
      </c>
      <c r="D423" s="22">
        <v>0</v>
      </c>
      <c r="E423" s="39">
        <v>6</v>
      </c>
      <c r="F423">
        <f t="shared" si="18"/>
        <v>0</v>
      </c>
      <c r="G423">
        <f t="shared" si="20"/>
        <v>0.1</v>
      </c>
      <c r="I423">
        <f t="shared" si="19"/>
        <v>77010000204</v>
      </c>
    </row>
    <row r="424" spans="1:9" hidden="1" x14ac:dyDescent="0.35">
      <c r="A424" s="22">
        <v>77010000182</v>
      </c>
      <c r="B424" s="22">
        <v>5</v>
      </c>
      <c r="C424" s="23" t="s">
        <v>0</v>
      </c>
      <c r="D424" s="22">
        <v>2.56</v>
      </c>
      <c r="E424" s="39">
        <v>6</v>
      </c>
      <c r="F424">
        <f t="shared" si="18"/>
        <v>15.36</v>
      </c>
      <c r="G424">
        <f t="shared" si="20"/>
        <v>0.1</v>
      </c>
      <c r="I424">
        <f t="shared" si="19"/>
        <v>77010000182</v>
      </c>
    </row>
    <row r="425" spans="1:9" hidden="1" x14ac:dyDescent="0.35">
      <c r="A425" s="22">
        <v>77010000183</v>
      </c>
      <c r="B425" s="22">
        <v>5</v>
      </c>
      <c r="C425" s="23" t="s">
        <v>0</v>
      </c>
      <c r="D425" s="22">
        <v>2.56</v>
      </c>
      <c r="E425" s="39">
        <v>6</v>
      </c>
      <c r="F425">
        <f t="shared" si="18"/>
        <v>15.36</v>
      </c>
      <c r="G425">
        <f t="shared" si="20"/>
        <v>0.1</v>
      </c>
      <c r="I425">
        <f t="shared" si="19"/>
        <v>77010000183</v>
      </c>
    </row>
    <row r="426" spans="1:9" hidden="1" x14ac:dyDescent="0.35">
      <c r="A426" s="22">
        <v>77010000190</v>
      </c>
      <c r="B426" s="22">
        <v>5</v>
      </c>
      <c r="C426" s="23" t="s">
        <v>0</v>
      </c>
      <c r="D426" s="22">
        <v>2.56</v>
      </c>
      <c r="E426" s="39">
        <v>6</v>
      </c>
      <c r="F426">
        <f t="shared" si="18"/>
        <v>15.36</v>
      </c>
      <c r="G426">
        <f t="shared" si="20"/>
        <v>0.1</v>
      </c>
      <c r="I426">
        <f t="shared" si="19"/>
        <v>77010000190</v>
      </c>
    </row>
    <row r="427" spans="1:9" hidden="1" x14ac:dyDescent="0.35">
      <c r="A427" s="22">
        <v>77010000219</v>
      </c>
      <c r="B427" s="22">
        <v>5</v>
      </c>
      <c r="C427" s="23" t="s">
        <v>0</v>
      </c>
      <c r="D427" s="22">
        <v>2.56</v>
      </c>
      <c r="E427" s="39">
        <v>6</v>
      </c>
      <c r="F427">
        <f t="shared" si="18"/>
        <v>15.36</v>
      </c>
      <c r="G427">
        <f t="shared" si="20"/>
        <v>0.1</v>
      </c>
      <c r="I427">
        <f t="shared" si="19"/>
        <v>77010000219</v>
      </c>
    </row>
    <row r="428" spans="1:9" hidden="1" x14ac:dyDescent="0.35">
      <c r="A428" s="22">
        <v>77010000178</v>
      </c>
      <c r="B428" s="22">
        <v>5</v>
      </c>
      <c r="C428" s="23" t="s">
        <v>0</v>
      </c>
      <c r="D428" s="22">
        <v>2.98</v>
      </c>
      <c r="E428" s="39">
        <v>7</v>
      </c>
      <c r="F428">
        <f t="shared" si="18"/>
        <v>20.86</v>
      </c>
      <c r="G428">
        <f t="shared" si="20"/>
        <v>0.11666666666666667</v>
      </c>
      <c r="I428">
        <f t="shared" si="19"/>
        <v>77010000178</v>
      </c>
    </row>
    <row r="429" spans="1:9" hidden="1" x14ac:dyDescent="0.35">
      <c r="A429" s="22">
        <v>77010000188</v>
      </c>
      <c r="B429" s="22">
        <v>5</v>
      </c>
      <c r="C429" s="23" t="s">
        <v>0</v>
      </c>
      <c r="D429" s="22">
        <v>2.98</v>
      </c>
      <c r="E429" s="39">
        <v>7</v>
      </c>
      <c r="F429">
        <f t="shared" si="18"/>
        <v>20.86</v>
      </c>
      <c r="G429">
        <f t="shared" si="20"/>
        <v>0.11666666666666667</v>
      </c>
      <c r="I429">
        <f t="shared" si="19"/>
        <v>77010000188</v>
      </c>
    </row>
    <row r="430" spans="1:9" hidden="1" x14ac:dyDescent="0.35">
      <c r="A430" s="22">
        <v>77010000190</v>
      </c>
      <c r="B430" s="22">
        <v>5</v>
      </c>
      <c r="C430" s="23" t="s">
        <v>0</v>
      </c>
      <c r="D430" s="22">
        <v>2.98</v>
      </c>
      <c r="E430" s="39">
        <v>7</v>
      </c>
      <c r="F430">
        <f t="shared" si="18"/>
        <v>20.86</v>
      </c>
      <c r="G430">
        <f t="shared" si="20"/>
        <v>0.11666666666666667</v>
      </c>
      <c r="I430">
        <f t="shared" si="19"/>
        <v>77010000190</v>
      </c>
    </row>
    <row r="431" spans="1:9" hidden="1" x14ac:dyDescent="0.35">
      <c r="A431" s="22">
        <v>77010000172</v>
      </c>
      <c r="B431" s="22">
        <v>5</v>
      </c>
      <c r="C431" s="23" t="s">
        <v>0</v>
      </c>
      <c r="D431" s="22">
        <v>2.98</v>
      </c>
      <c r="E431" s="39">
        <v>7</v>
      </c>
      <c r="F431">
        <f t="shared" si="18"/>
        <v>20.86</v>
      </c>
      <c r="G431">
        <f t="shared" si="20"/>
        <v>0.11666666666666667</v>
      </c>
      <c r="I431">
        <f t="shared" si="19"/>
        <v>77010000172</v>
      </c>
    </row>
    <row r="432" spans="1:9" hidden="1" x14ac:dyDescent="0.35">
      <c r="A432" s="22">
        <v>77010000175</v>
      </c>
      <c r="B432" s="22">
        <v>5</v>
      </c>
      <c r="C432" s="23" t="s">
        <v>1</v>
      </c>
      <c r="D432" s="22">
        <v>7.43</v>
      </c>
      <c r="E432" s="39">
        <v>7</v>
      </c>
      <c r="F432">
        <f t="shared" si="18"/>
        <v>52.01</v>
      </c>
      <c r="G432">
        <f t="shared" si="20"/>
        <v>0.11666666666666667</v>
      </c>
      <c r="I432">
        <f t="shared" si="19"/>
        <v>77010000175</v>
      </c>
    </row>
    <row r="433" spans="1:9" hidden="1" x14ac:dyDescent="0.35">
      <c r="A433" s="22">
        <v>77010000180</v>
      </c>
      <c r="B433" s="22">
        <v>5</v>
      </c>
      <c r="C433" s="23" t="s">
        <v>0</v>
      </c>
      <c r="D433" s="22">
        <v>2.98</v>
      </c>
      <c r="E433" s="39">
        <v>7</v>
      </c>
      <c r="F433">
        <f t="shared" si="18"/>
        <v>20.86</v>
      </c>
      <c r="G433">
        <f t="shared" si="20"/>
        <v>0.11666666666666667</v>
      </c>
      <c r="I433">
        <f t="shared" si="19"/>
        <v>77010000180</v>
      </c>
    </row>
    <row r="434" spans="1:9" hidden="1" x14ac:dyDescent="0.35">
      <c r="A434" s="22">
        <v>77010000189</v>
      </c>
      <c r="B434" s="22">
        <v>5</v>
      </c>
      <c r="C434" s="23" t="s">
        <v>0</v>
      </c>
      <c r="D434" s="22">
        <v>2.98</v>
      </c>
      <c r="E434" s="39">
        <v>7</v>
      </c>
      <c r="F434">
        <f t="shared" si="18"/>
        <v>20.86</v>
      </c>
      <c r="G434">
        <f t="shared" si="20"/>
        <v>0.11666666666666667</v>
      </c>
      <c r="I434">
        <f t="shared" si="19"/>
        <v>77010000189</v>
      </c>
    </row>
    <row r="435" spans="1:9" hidden="1" x14ac:dyDescent="0.35">
      <c r="A435" s="22">
        <v>77010000191</v>
      </c>
      <c r="B435" s="22">
        <v>5</v>
      </c>
      <c r="C435" s="23" t="s">
        <v>0</v>
      </c>
      <c r="D435" s="22">
        <v>2.98</v>
      </c>
      <c r="E435" s="39">
        <v>7</v>
      </c>
      <c r="F435">
        <f t="shared" si="18"/>
        <v>20.86</v>
      </c>
      <c r="G435">
        <f t="shared" si="20"/>
        <v>0.11666666666666667</v>
      </c>
      <c r="I435">
        <f t="shared" si="19"/>
        <v>77010000191</v>
      </c>
    </row>
    <row r="436" spans="1:9" hidden="1" x14ac:dyDescent="0.35">
      <c r="A436" s="22">
        <v>77010000221</v>
      </c>
      <c r="B436" s="22">
        <v>5</v>
      </c>
      <c r="C436" s="23" t="s">
        <v>0</v>
      </c>
      <c r="D436" s="22">
        <v>2.98</v>
      </c>
      <c r="E436" s="39">
        <v>7</v>
      </c>
      <c r="F436">
        <f t="shared" si="18"/>
        <v>20.86</v>
      </c>
      <c r="G436">
        <f t="shared" si="20"/>
        <v>0.11666666666666667</v>
      </c>
      <c r="I436">
        <f t="shared" si="19"/>
        <v>77010000221</v>
      </c>
    </row>
    <row r="437" spans="1:9" hidden="1" x14ac:dyDescent="0.35">
      <c r="A437" s="22">
        <v>77010000166</v>
      </c>
      <c r="B437" s="22">
        <v>5</v>
      </c>
      <c r="C437" s="23" t="s">
        <v>0</v>
      </c>
      <c r="D437" s="22">
        <v>3.41</v>
      </c>
      <c r="E437" s="39">
        <v>8</v>
      </c>
      <c r="F437">
        <f t="shared" si="18"/>
        <v>27.28</v>
      </c>
      <c r="G437">
        <f t="shared" si="20"/>
        <v>0.13333333333333333</v>
      </c>
      <c r="I437">
        <f t="shared" si="19"/>
        <v>77010000166</v>
      </c>
    </row>
    <row r="438" spans="1:9" hidden="1" x14ac:dyDescent="0.35">
      <c r="A438" s="22">
        <v>77010000176</v>
      </c>
      <c r="B438" s="22">
        <v>5</v>
      </c>
      <c r="C438" s="23" t="s">
        <v>0</v>
      </c>
      <c r="D438" s="22">
        <v>3.41</v>
      </c>
      <c r="E438" s="39">
        <v>8</v>
      </c>
      <c r="F438">
        <f t="shared" si="18"/>
        <v>27.28</v>
      </c>
      <c r="G438">
        <f t="shared" si="20"/>
        <v>0.13333333333333333</v>
      </c>
      <c r="I438">
        <f t="shared" si="19"/>
        <v>77010000176</v>
      </c>
    </row>
    <row r="439" spans="1:9" hidden="1" x14ac:dyDescent="0.35">
      <c r="A439" s="22">
        <v>77010000205</v>
      </c>
      <c r="B439" s="22">
        <v>5</v>
      </c>
      <c r="C439" s="23" t="s">
        <v>0</v>
      </c>
      <c r="D439" s="22">
        <v>3.41</v>
      </c>
      <c r="E439" s="39">
        <v>8</v>
      </c>
      <c r="F439">
        <f t="shared" si="18"/>
        <v>27.28</v>
      </c>
      <c r="G439">
        <f t="shared" si="20"/>
        <v>0.13333333333333333</v>
      </c>
      <c r="I439">
        <f t="shared" si="19"/>
        <v>77010000205</v>
      </c>
    </row>
    <row r="440" spans="1:9" hidden="1" x14ac:dyDescent="0.35">
      <c r="A440" s="22">
        <v>77010000169</v>
      </c>
      <c r="B440" s="22">
        <v>5</v>
      </c>
      <c r="C440" s="23" t="s">
        <v>0</v>
      </c>
      <c r="D440" s="22">
        <v>3.41</v>
      </c>
      <c r="E440" s="39">
        <v>8</v>
      </c>
      <c r="F440">
        <f t="shared" si="18"/>
        <v>27.28</v>
      </c>
      <c r="G440">
        <f t="shared" si="20"/>
        <v>0.13333333333333333</v>
      </c>
      <c r="I440">
        <f t="shared" si="19"/>
        <v>77010000169</v>
      </c>
    </row>
    <row r="441" spans="1:9" hidden="1" x14ac:dyDescent="0.35">
      <c r="A441" s="22">
        <v>77010000171</v>
      </c>
      <c r="B441" s="22">
        <v>5</v>
      </c>
      <c r="C441" s="23" t="s">
        <v>0</v>
      </c>
      <c r="D441" s="22">
        <v>3.41</v>
      </c>
      <c r="E441" s="39">
        <v>8</v>
      </c>
      <c r="F441">
        <f t="shared" si="18"/>
        <v>27.28</v>
      </c>
      <c r="G441">
        <f t="shared" si="20"/>
        <v>0.13333333333333333</v>
      </c>
      <c r="I441">
        <f t="shared" si="19"/>
        <v>77010000171</v>
      </c>
    </row>
    <row r="442" spans="1:9" hidden="1" x14ac:dyDescent="0.35">
      <c r="A442" s="22">
        <v>77010000186</v>
      </c>
      <c r="B442" s="22">
        <v>5</v>
      </c>
      <c r="C442" s="23" t="s">
        <v>0</v>
      </c>
      <c r="D442" s="22">
        <v>3.41</v>
      </c>
      <c r="E442" s="39">
        <v>8</v>
      </c>
      <c r="F442">
        <f t="shared" si="18"/>
        <v>27.28</v>
      </c>
      <c r="G442">
        <f t="shared" si="20"/>
        <v>0.13333333333333333</v>
      </c>
      <c r="I442">
        <f t="shared" si="19"/>
        <v>77010000186</v>
      </c>
    </row>
    <row r="443" spans="1:9" hidden="1" x14ac:dyDescent="0.35">
      <c r="A443" s="22">
        <v>77010000235</v>
      </c>
      <c r="B443" s="22">
        <v>5</v>
      </c>
      <c r="C443" s="23" t="s">
        <v>0</v>
      </c>
      <c r="D443" s="22">
        <v>3.41</v>
      </c>
      <c r="E443" s="39">
        <v>8</v>
      </c>
      <c r="F443">
        <f t="shared" si="18"/>
        <v>27.28</v>
      </c>
      <c r="G443">
        <f t="shared" si="20"/>
        <v>0.13333333333333333</v>
      </c>
      <c r="I443">
        <f t="shared" si="19"/>
        <v>77010000235</v>
      </c>
    </row>
    <row r="444" spans="1:9" hidden="1" x14ac:dyDescent="0.35">
      <c r="A444" s="22">
        <v>77010000218</v>
      </c>
      <c r="B444" s="22">
        <v>5</v>
      </c>
      <c r="C444" s="23" t="s">
        <v>0</v>
      </c>
      <c r="D444" s="22">
        <v>3.41</v>
      </c>
      <c r="E444" s="39">
        <v>8</v>
      </c>
      <c r="F444">
        <f t="shared" si="18"/>
        <v>27.28</v>
      </c>
      <c r="G444">
        <f t="shared" si="20"/>
        <v>0.13333333333333333</v>
      </c>
      <c r="I444">
        <f t="shared" si="19"/>
        <v>77010000218</v>
      </c>
    </row>
    <row r="445" spans="1:9" hidden="1" x14ac:dyDescent="0.35">
      <c r="A445" s="22">
        <v>77010000220</v>
      </c>
      <c r="B445" s="22">
        <v>5</v>
      </c>
      <c r="C445" s="23" t="s">
        <v>0</v>
      </c>
      <c r="D445" s="22">
        <v>3.41</v>
      </c>
      <c r="E445" s="39">
        <v>8</v>
      </c>
      <c r="F445">
        <f t="shared" si="18"/>
        <v>27.28</v>
      </c>
      <c r="G445">
        <f t="shared" si="20"/>
        <v>0.13333333333333333</v>
      </c>
      <c r="I445">
        <f t="shared" si="19"/>
        <v>77010000220</v>
      </c>
    </row>
    <row r="446" spans="1:9" hidden="1" x14ac:dyDescent="0.35">
      <c r="A446" s="22">
        <v>77010000181</v>
      </c>
      <c r="B446" s="22">
        <v>5</v>
      </c>
      <c r="C446" s="23" t="s">
        <v>0</v>
      </c>
      <c r="D446" s="22">
        <v>3.84</v>
      </c>
      <c r="E446" s="39">
        <v>9</v>
      </c>
      <c r="F446">
        <f t="shared" si="18"/>
        <v>34.56</v>
      </c>
      <c r="G446">
        <f t="shared" si="20"/>
        <v>0.15</v>
      </c>
      <c r="I446">
        <f t="shared" si="19"/>
        <v>77010000181</v>
      </c>
    </row>
    <row r="447" spans="1:9" hidden="1" x14ac:dyDescent="0.35">
      <c r="A447" s="22">
        <v>77010000184</v>
      </c>
      <c r="B447" s="22">
        <v>5</v>
      </c>
      <c r="C447" s="23" t="s">
        <v>0</v>
      </c>
      <c r="D447" s="22">
        <v>3.84</v>
      </c>
      <c r="E447" s="39">
        <v>9</v>
      </c>
      <c r="F447">
        <f t="shared" si="18"/>
        <v>34.56</v>
      </c>
      <c r="G447">
        <f t="shared" si="20"/>
        <v>0.15</v>
      </c>
      <c r="I447">
        <f t="shared" si="19"/>
        <v>77010000184</v>
      </c>
    </row>
    <row r="448" spans="1:9" hidden="1" x14ac:dyDescent="0.35">
      <c r="A448" s="22">
        <v>77010000203</v>
      </c>
      <c r="B448" s="22">
        <v>5</v>
      </c>
      <c r="C448" s="23" t="s">
        <v>0</v>
      </c>
      <c r="D448" s="22">
        <v>3.84</v>
      </c>
      <c r="E448" s="39">
        <v>9</v>
      </c>
      <c r="F448">
        <f t="shared" si="18"/>
        <v>34.56</v>
      </c>
      <c r="G448">
        <f t="shared" si="20"/>
        <v>0.15</v>
      </c>
      <c r="I448">
        <f t="shared" si="19"/>
        <v>77010000203</v>
      </c>
    </row>
    <row r="449" spans="1:9" hidden="1" x14ac:dyDescent="0.35">
      <c r="A449" s="22">
        <v>77010000203</v>
      </c>
      <c r="B449" s="22">
        <v>5</v>
      </c>
      <c r="C449" s="23" t="s">
        <v>0</v>
      </c>
      <c r="D449" s="22">
        <v>3.84</v>
      </c>
      <c r="E449" s="39">
        <v>9</v>
      </c>
      <c r="F449">
        <f t="shared" si="18"/>
        <v>34.56</v>
      </c>
      <c r="G449">
        <f t="shared" si="20"/>
        <v>0.15</v>
      </c>
      <c r="I449">
        <f t="shared" si="19"/>
        <v>77010000203</v>
      </c>
    </row>
    <row r="450" spans="1:9" hidden="1" x14ac:dyDescent="0.35">
      <c r="A450" s="22">
        <v>77010000189</v>
      </c>
      <c r="B450" s="22">
        <v>5</v>
      </c>
      <c r="C450" s="23" t="s">
        <v>0</v>
      </c>
      <c r="D450" s="22">
        <v>3.84</v>
      </c>
      <c r="E450" s="39">
        <v>9</v>
      </c>
      <c r="F450">
        <f t="shared" ref="F450:F513" si="21">D450*E450</f>
        <v>34.56</v>
      </c>
      <c r="G450">
        <f t="shared" si="20"/>
        <v>0.15</v>
      </c>
      <c r="I450">
        <f t="shared" ref="I450:I513" si="22">_xlfn.UNIQUE(A450,$A:$A,A450)</f>
        <v>77010000189</v>
      </c>
    </row>
    <row r="451" spans="1:9" hidden="1" x14ac:dyDescent="0.35">
      <c r="A451" s="22">
        <v>77010000210</v>
      </c>
      <c r="B451" s="22">
        <v>5</v>
      </c>
      <c r="C451" s="23" t="s">
        <v>1</v>
      </c>
      <c r="D451" s="22">
        <v>7.43</v>
      </c>
      <c r="E451" s="39">
        <v>9</v>
      </c>
      <c r="F451">
        <f t="shared" si="21"/>
        <v>66.87</v>
      </c>
      <c r="G451">
        <f t="shared" ref="G451:G514" si="23">E451/60</f>
        <v>0.15</v>
      </c>
      <c r="I451">
        <f t="shared" si="22"/>
        <v>77010000210</v>
      </c>
    </row>
    <row r="452" spans="1:9" hidden="1" x14ac:dyDescent="0.35">
      <c r="A452" s="22">
        <v>77010000233</v>
      </c>
      <c r="B452" s="22">
        <v>5</v>
      </c>
      <c r="C452" s="23" t="s">
        <v>0</v>
      </c>
      <c r="D452" s="22">
        <v>3.84</v>
      </c>
      <c r="E452" s="39">
        <v>9</v>
      </c>
      <c r="F452">
        <f t="shared" si="21"/>
        <v>34.56</v>
      </c>
      <c r="G452">
        <f t="shared" si="23"/>
        <v>0.15</v>
      </c>
      <c r="I452">
        <f t="shared" si="22"/>
        <v>77010000233</v>
      </c>
    </row>
    <row r="453" spans="1:9" hidden="1" x14ac:dyDescent="0.35">
      <c r="A453" s="22">
        <v>77010000237</v>
      </c>
      <c r="B453" s="22">
        <v>5</v>
      </c>
      <c r="C453" s="23" t="s">
        <v>0</v>
      </c>
      <c r="D453" s="22">
        <v>3.84</v>
      </c>
      <c r="E453" s="39">
        <v>9</v>
      </c>
      <c r="F453">
        <f t="shared" si="21"/>
        <v>34.56</v>
      </c>
      <c r="G453">
        <f t="shared" si="23"/>
        <v>0.15</v>
      </c>
      <c r="I453">
        <f t="shared" si="22"/>
        <v>77010000237</v>
      </c>
    </row>
    <row r="454" spans="1:9" hidden="1" x14ac:dyDescent="0.35">
      <c r="A454" s="22">
        <v>77010000192</v>
      </c>
      <c r="B454" s="22">
        <v>5</v>
      </c>
      <c r="C454" s="23" t="s">
        <v>0</v>
      </c>
      <c r="D454" s="22">
        <v>4.26</v>
      </c>
      <c r="E454" s="39">
        <v>10</v>
      </c>
      <c r="F454">
        <f t="shared" si="21"/>
        <v>42.599999999999994</v>
      </c>
      <c r="G454">
        <f t="shared" si="23"/>
        <v>0.16666666666666666</v>
      </c>
      <c r="I454">
        <f t="shared" si="22"/>
        <v>77010000192</v>
      </c>
    </row>
    <row r="455" spans="1:9" hidden="1" x14ac:dyDescent="0.35">
      <c r="A455" s="22">
        <v>77010000202</v>
      </c>
      <c r="B455" s="22">
        <v>5</v>
      </c>
      <c r="C455" s="23" t="s">
        <v>0</v>
      </c>
      <c r="D455" s="22">
        <v>4.26</v>
      </c>
      <c r="E455" s="39">
        <v>10</v>
      </c>
      <c r="F455">
        <f t="shared" si="21"/>
        <v>42.599999999999994</v>
      </c>
      <c r="G455">
        <f t="shared" si="23"/>
        <v>0.16666666666666666</v>
      </c>
      <c r="I455">
        <f t="shared" si="22"/>
        <v>77010000202</v>
      </c>
    </row>
    <row r="456" spans="1:9" hidden="1" x14ac:dyDescent="0.35">
      <c r="A456" s="22">
        <v>77010000204</v>
      </c>
      <c r="B456" s="22">
        <v>5</v>
      </c>
      <c r="C456" s="23" t="s">
        <v>0</v>
      </c>
      <c r="D456" s="22">
        <v>4.26</v>
      </c>
      <c r="E456" s="39">
        <v>10</v>
      </c>
      <c r="F456">
        <f t="shared" si="21"/>
        <v>42.599999999999994</v>
      </c>
      <c r="G456">
        <f t="shared" si="23"/>
        <v>0.16666666666666666</v>
      </c>
      <c r="I456">
        <f t="shared" si="22"/>
        <v>77010000204</v>
      </c>
    </row>
    <row r="457" spans="1:9" hidden="1" x14ac:dyDescent="0.35">
      <c r="A457" s="22">
        <v>77010000176</v>
      </c>
      <c r="B457" s="22">
        <v>5</v>
      </c>
      <c r="C457" s="23" t="s">
        <v>0</v>
      </c>
      <c r="D457" s="22">
        <v>4.26</v>
      </c>
      <c r="E457" s="39">
        <v>10</v>
      </c>
      <c r="F457">
        <f t="shared" si="21"/>
        <v>42.599999999999994</v>
      </c>
      <c r="G457">
        <f t="shared" si="23"/>
        <v>0.16666666666666666</v>
      </c>
      <c r="I457">
        <f t="shared" si="22"/>
        <v>77010000176</v>
      </c>
    </row>
    <row r="458" spans="1:9" hidden="1" x14ac:dyDescent="0.35">
      <c r="A458" s="22">
        <v>77010000187</v>
      </c>
      <c r="B458" s="22">
        <v>5</v>
      </c>
      <c r="C458" s="23" t="s">
        <v>0</v>
      </c>
      <c r="D458" s="22">
        <v>4.26</v>
      </c>
      <c r="E458" s="39">
        <v>10</v>
      </c>
      <c r="F458">
        <f t="shared" si="21"/>
        <v>42.599999999999994</v>
      </c>
      <c r="G458">
        <f t="shared" si="23"/>
        <v>0.16666666666666666</v>
      </c>
      <c r="I458">
        <f t="shared" si="22"/>
        <v>77010000187</v>
      </c>
    </row>
    <row r="459" spans="1:9" hidden="1" x14ac:dyDescent="0.35">
      <c r="A459" s="22">
        <v>77010000203</v>
      </c>
      <c r="B459" s="22">
        <v>5</v>
      </c>
      <c r="C459" s="23" t="s">
        <v>0</v>
      </c>
      <c r="D459" s="22">
        <v>4.26</v>
      </c>
      <c r="E459" s="39">
        <v>10</v>
      </c>
      <c r="F459">
        <f t="shared" si="21"/>
        <v>42.599999999999994</v>
      </c>
      <c r="G459">
        <f t="shared" si="23"/>
        <v>0.16666666666666666</v>
      </c>
      <c r="I459">
        <f t="shared" si="22"/>
        <v>77010000203</v>
      </c>
    </row>
    <row r="460" spans="1:9" hidden="1" x14ac:dyDescent="0.35">
      <c r="A460" s="22">
        <v>77010000231</v>
      </c>
      <c r="B460" s="22">
        <v>5</v>
      </c>
      <c r="C460" s="23" t="s">
        <v>0</v>
      </c>
      <c r="D460" s="22">
        <v>4.26</v>
      </c>
      <c r="E460" s="39">
        <v>10</v>
      </c>
      <c r="F460">
        <f t="shared" si="21"/>
        <v>42.599999999999994</v>
      </c>
      <c r="G460">
        <f t="shared" si="23"/>
        <v>0.16666666666666666</v>
      </c>
      <c r="I460">
        <f t="shared" si="22"/>
        <v>77010000231</v>
      </c>
    </row>
    <row r="461" spans="1:9" hidden="1" x14ac:dyDescent="0.35">
      <c r="A461" s="22">
        <v>77010000234</v>
      </c>
      <c r="B461" s="22">
        <v>5</v>
      </c>
      <c r="C461" s="23" t="s">
        <v>0</v>
      </c>
      <c r="D461" s="22">
        <v>4.26</v>
      </c>
      <c r="E461" s="39">
        <v>10</v>
      </c>
      <c r="F461">
        <f t="shared" si="21"/>
        <v>42.599999999999994</v>
      </c>
      <c r="G461">
        <f t="shared" si="23"/>
        <v>0.16666666666666666</v>
      </c>
      <c r="I461">
        <f t="shared" si="22"/>
        <v>77010000234</v>
      </c>
    </row>
    <row r="462" spans="1:9" hidden="1" x14ac:dyDescent="0.35">
      <c r="A462" s="22">
        <v>77010000197</v>
      </c>
      <c r="B462" s="22">
        <v>5</v>
      </c>
      <c r="C462" s="23" t="s">
        <v>0</v>
      </c>
      <c r="D462" s="22">
        <v>4.6900000000000004</v>
      </c>
      <c r="E462" s="39">
        <v>11</v>
      </c>
      <c r="F462">
        <f t="shared" si="21"/>
        <v>51.59</v>
      </c>
      <c r="G462">
        <f t="shared" si="23"/>
        <v>0.18333333333333332</v>
      </c>
      <c r="I462">
        <f t="shared" si="22"/>
        <v>77010000197</v>
      </c>
    </row>
    <row r="463" spans="1:9" hidden="1" x14ac:dyDescent="0.35">
      <c r="A463" s="22">
        <v>77010000172</v>
      </c>
      <c r="B463" s="22">
        <v>5</v>
      </c>
      <c r="C463" s="23" t="s">
        <v>2</v>
      </c>
      <c r="D463" s="22">
        <v>14.87</v>
      </c>
      <c r="E463" s="39">
        <v>11</v>
      </c>
      <c r="F463">
        <f t="shared" si="21"/>
        <v>163.57</v>
      </c>
      <c r="G463">
        <f t="shared" si="23"/>
        <v>0.18333333333333332</v>
      </c>
      <c r="I463">
        <f t="shared" si="22"/>
        <v>77010000172</v>
      </c>
    </row>
    <row r="464" spans="1:9" hidden="1" x14ac:dyDescent="0.35">
      <c r="A464" s="22">
        <v>77010000207</v>
      </c>
      <c r="B464" s="22">
        <v>5</v>
      </c>
      <c r="C464" s="23" t="s">
        <v>0</v>
      </c>
      <c r="D464" s="22">
        <v>4.6900000000000004</v>
      </c>
      <c r="E464" s="39">
        <v>11</v>
      </c>
      <c r="F464">
        <f t="shared" si="21"/>
        <v>51.59</v>
      </c>
      <c r="G464">
        <f t="shared" si="23"/>
        <v>0.18333333333333332</v>
      </c>
      <c r="I464">
        <f t="shared" si="22"/>
        <v>77010000207</v>
      </c>
    </row>
    <row r="465" spans="1:9" hidden="1" x14ac:dyDescent="0.35">
      <c r="A465" s="22">
        <v>77010000178</v>
      </c>
      <c r="B465" s="22">
        <v>5</v>
      </c>
      <c r="C465" s="23" t="s">
        <v>0</v>
      </c>
      <c r="D465" s="22">
        <v>4.6900000000000004</v>
      </c>
      <c r="E465" s="39">
        <v>11</v>
      </c>
      <c r="F465">
        <f t="shared" si="21"/>
        <v>51.59</v>
      </c>
      <c r="G465">
        <f t="shared" si="23"/>
        <v>0.18333333333333332</v>
      </c>
      <c r="I465">
        <f t="shared" si="22"/>
        <v>77010000178</v>
      </c>
    </row>
    <row r="466" spans="1:9" hidden="1" x14ac:dyDescent="0.35">
      <c r="A466" s="22">
        <v>77010000207</v>
      </c>
      <c r="B466" s="22">
        <v>5</v>
      </c>
      <c r="C466" s="23" t="s">
        <v>0</v>
      </c>
      <c r="D466" s="22">
        <v>4.6900000000000004</v>
      </c>
      <c r="E466" s="39">
        <v>11</v>
      </c>
      <c r="F466">
        <f t="shared" si="21"/>
        <v>51.59</v>
      </c>
      <c r="G466">
        <f t="shared" si="23"/>
        <v>0.18333333333333332</v>
      </c>
      <c r="I466">
        <f t="shared" si="22"/>
        <v>77010000207</v>
      </c>
    </row>
    <row r="467" spans="1:9" hidden="1" x14ac:dyDescent="0.35">
      <c r="A467" s="22">
        <v>77010000212</v>
      </c>
      <c r="B467" s="22">
        <v>5</v>
      </c>
      <c r="C467" s="23" t="s">
        <v>0</v>
      </c>
      <c r="D467" s="22">
        <v>4.6900000000000004</v>
      </c>
      <c r="E467" s="39">
        <v>11</v>
      </c>
      <c r="F467">
        <f t="shared" si="21"/>
        <v>51.59</v>
      </c>
      <c r="G467">
        <f t="shared" si="23"/>
        <v>0.18333333333333332</v>
      </c>
      <c r="I467">
        <f t="shared" si="22"/>
        <v>77010000212</v>
      </c>
    </row>
    <row r="468" spans="1:9" hidden="1" x14ac:dyDescent="0.35">
      <c r="A468" s="22">
        <v>77010000179</v>
      </c>
      <c r="B468" s="22">
        <v>5</v>
      </c>
      <c r="C468" s="23" t="s">
        <v>0</v>
      </c>
      <c r="D468" s="22">
        <v>5.1100000000000003</v>
      </c>
      <c r="E468" s="39">
        <v>12</v>
      </c>
      <c r="F468">
        <f t="shared" si="21"/>
        <v>61.320000000000007</v>
      </c>
      <c r="G468">
        <f t="shared" si="23"/>
        <v>0.2</v>
      </c>
      <c r="I468">
        <f t="shared" si="22"/>
        <v>77010000179</v>
      </c>
    </row>
    <row r="469" spans="1:9" hidden="1" x14ac:dyDescent="0.35">
      <c r="A469" s="22">
        <v>77010000194</v>
      </c>
      <c r="B469" s="22">
        <v>5</v>
      </c>
      <c r="C469" s="23" t="s">
        <v>0</v>
      </c>
      <c r="D469" s="22">
        <v>5.1100000000000003</v>
      </c>
      <c r="E469" s="39">
        <v>12</v>
      </c>
      <c r="F469">
        <f t="shared" si="21"/>
        <v>61.320000000000007</v>
      </c>
      <c r="G469">
        <f t="shared" si="23"/>
        <v>0.2</v>
      </c>
      <c r="I469">
        <f t="shared" si="22"/>
        <v>77010000194</v>
      </c>
    </row>
    <row r="470" spans="1:9" hidden="1" x14ac:dyDescent="0.35">
      <c r="A470" s="22">
        <v>77010000206</v>
      </c>
      <c r="B470" s="22">
        <v>5</v>
      </c>
      <c r="C470" s="23" t="s">
        <v>0</v>
      </c>
      <c r="D470" s="22">
        <v>5.1100000000000003</v>
      </c>
      <c r="E470" s="39">
        <v>12</v>
      </c>
      <c r="F470">
        <f t="shared" si="21"/>
        <v>61.320000000000007</v>
      </c>
      <c r="G470">
        <f t="shared" si="23"/>
        <v>0.2</v>
      </c>
      <c r="I470">
        <f t="shared" si="22"/>
        <v>77010000206</v>
      </c>
    </row>
    <row r="471" spans="1:9" hidden="1" x14ac:dyDescent="0.35">
      <c r="A471" s="22">
        <v>77010000182</v>
      </c>
      <c r="B471" s="22">
        <v>5</v>
      </c>
      <c r="C471" s="23" t="s">
        <v>0</v>
      </c>
      <c r="D471" s="22">
        <v>5.1100000000000003</v>
      </c>
      <c r="E471" s="39">
        <v>12</v>
      </c>
      <c r="F471">
        <f t="shared" si="21"/>
        <v>61.320000000000007</v>
      </c>
      <c r="G471">
        <f t="shared" si="23"/>
        <v>0.2</v>
      </c>
      <c r="I471">
        <f t="shared" si="22"/>
        <v>77010000182</v>
      </c>
    </row>
    <row r="472" spans="1:9" hidden="1" x14ac:dyDescent="0.35">
      <c r="A472" s="22">
        <v>77010000184</v>
      </c>
      <c r="B472" s="22">
        <v>5</v>
      </c>
      <c r="C472" s="23" t="s">
        <v>0</v>
      </c>
      <c r="D472" s="22">
        <v>5.1100000000000003</v>
      </c>
      <c r="E472" s="39">
        <v>12</v>
      </c>
      <c r="F472">
        <f t="shared" si="21"/>
        <v>61.320000000000007</v>
      </c>
      <c r="G472">
        <f t="shared" si="23"/>
        <v>0.2</v>
      </c>
      <c r="I472">
        <f t="shared" si="22"/>
        <v>77010000184</v>
      </c>
    </row>
    <row r="473" spans="1:9" hidden="1" x14ac:dyDescent="0.35">
      <c r="A473" s="22">
        <v>77010000228</v>
      </c>
      <c r="B473" s="22">
        <v>5</v>
      </c>
      <c r="C473" s="23" t="s">
        <v>0</v>
      </c>
      <c r="D473" s="22">
        <v>5.1100000000000003</v>
      </c>
      <c r="E473" s="39">
        <v>12</v>
      </c>
      <c r="F473">
        <f t="shared" si="21"/>
        <v>61.320000000000007</v>
      </c>
      <c r="G473">
        <f t="shared" si="23"/>
        <v>0.2</v>
      </c>
      <c r="I473">
        <f t="shared" si="22"/>
        <v>77010000228</v>
      </c>
    </row>
    <row r="474" spans="1:9" hidden="1" x14ac:dyDescent="0.35">
      <c r="A474" s="22">
        <v>77010000201</v>
      </c>
      <c r="B474" s="22">
        <v>5</v>
      </c>
      <c r="C474" s="23" t="s">
        <v>0</v>
      </c>
      <c r="D474" s="22">
        <v>5.54</v>
      </c>
      <c r="E474" s="39">
        <v>13</v>
      </c>
      <c r="F474">
        <f t="shared" si="21"/>
        <v>72.02</v>
      </c>
      <c r="G474">
        <f t="shared" si="23"/>
        <v>0.21666666666666667</v>
      </c>
      <c r="I474">
        <f t="shared" si="22"/>
        <v>77010000201</v>
      </c>
    </row>
    <row r="475" spans="1:9" hidden="1" x14ac:dyDescent="0.35">
      <c r="A475" s="22">
        <v>77010000208</v>
      </c>
      <c r="B475" s="22">
        <v>5</v>
      </c>
      <c r="C475" s="23" t="s">
        <v>0</v>
      </c>
      <c r="D475" s="22">
        <v>5.54</v>
      </c>
      <c r="E475" s="39">
        <v>13</v>
      </c>
      <c r="F475">
        <f t="shared" si="21"/>
        <v>72.02</v>
      </c>
      <c r="G475">
        <f t="shared" si="23"/>
        <v>0.21666666666666667</v>
      </c>
      <c r="I475">
        <f t="shared" si="22"/>
        <v>77010000208</v>
      </c>
    </row>
    <row r="476" spans="1:9" hidden="1" x14ac:dyDescent="0.35">
      <c r="A476" s="22">
        <v>77010000209</v>
      </c>
      <c r="B476" s="22">
        <v>5</v>
      </c>
      <c r="C476" s="23" t="s">
        <v>0</v>
      </c>
      <c r="D476" s="22">
        <v>5.54</v>
      </c>
      <c r="E476" s="39">
        <v>13</v>
      </c>
      <c r="F476">
        <f t="shared" si="21"/>
        <v>72.02</v>
      </c>
      <c r="G476">
        <f t="shared" si="23"/>
        <v>0.21666666666666667</v>
      </c>
      <c r="I476">
        <f t="shared" si="22"/>
        <v>77010000209</v>
      </c>
    </row>
    <row r="477" spans="1:9" hidden="1" x14ac:dyDescent="0.35">
      <c r="A477" s="22">
        <v>77010000226</v>
      </c>
      <c r="B477" s="22">
        <v>5</v>
      </c>
      <c r="C477" s="23" t="s">
        <v>0</v>
      </c>
      <c r="D477" s="22">
        <v>5.54</v>
      </c>
      <c r="E477" s="39">
        <v>13</v>
      </c>
      <c r="F477">
        <f t="shared" si="21"/>
        <v>72.02</v>
      </c>
      <c r="G477">
        <f t="shared" si="23"/>
        <v>0.21666666666666667</v>
      </c>
      <c r="I477">
        <f t="shared" si="22"/>
        <v>77010000226</v>
      </c>
    </row>
    <row r="478" spans="1:9" hidden="1" x14ac:dyDescent="0.35">
      <c r="A478" s="22">
        <v>77010000228</v>
      </c>
      <c r="B478" s="22">
        <v>5</v>
      </c>
      <c r="C478" s="23" t="s">
        <v>0</v>
      </c>
      <c r="D478" s="22">
        <v>5.54</v>
      </c>
      <c r="E478" s="39">
        <v>13</v>
      </c>
      <c r="F478">
        <f t="shared" si="21"/>
        <v>72.02</v>
      </c>
      <c r="G478">
        <f t="shared" si="23"/>
        <v>0.21666666666666667</v>
      </c>
      <c r="I478">
        <f t="shared" si="22"/>
        <v>77010000228</v>
      </c>
    </row>
    <row r="479" spans="1:9" hidden="1" x14ac:dyDescent="0.35">
      <c r="A479" s="22">
        <v>77010000210</v>
      </c>
      <c r="B479" s="22">
        <v>5</v>
      </c>
      <c r="C479" s="23" t="s">
        <v>0</v>
      </c>
      <c r="D479" s="22">
        <v>5.54</v>
      </c>
      <c r="E479" s="39">
        <v>13</v>
      </c>
      <c r="F479">
        <f t="shared" si="21"/>
        <v>72.02</v>
      </c>
      <c r="G479">
        <f t="shared" si="23"/>
        <v>0.21666666666666667</v>
      </c>
      <c r="I479">
        <f t="shared" si="22"/>
        <v>77010000210</v>
      </c>
    </row>
    <row r="480" spans="1:9" hidden="1" x14ac:dyDescent="0.35">
      <c r="A480" s="22">
        <v>77010000213</v>
      </c>
      <c r="B480" s="22">
        <v>5</v>
      </c>
      <c r="C480" s="23" t="s">
        <v>0</v>
      </c>
      <c r="D480" s="22">
        <v>5.54</v>
      </c>
      <c r="E480" s="39">
        <v>13</v>
      </c>
      <c r="F480">
        <f t="shared" si="21"/>
        <v>72.02</v>
      </c>
      <c r="G480">
        <f t="shared" si="23"/>
        <v>0.21666666666666667</v>
      </c>
      <c r="I480">
        <f t="shared" si="22"/>
        <v>77010000213</v>
      </c>
    </row>
    <row r="481" spans="1:9" hidden="1" x14ac:dyDescent="0.35">
      <c r="A481" s="22">
        <v>77010000236</v>
      </c>
      <c r="B481" s="22">
        <v>5</v>
      </c>
      <c r="C481" s="23" t="s">
        <v>0</v>
      </c>
      <c r="D481" s="22">
        <v>5.54</v>
      </c>
      <c r="E481" s="39">
        <v>13</v>
      </c>
      <c r="F481">
        <f t="shared" si="21"/>
        <v>72.02</v>
      </c>
      <c r="G481">
        <f t="shared" si="23"/>
        <v>0.21666666666666667</v>
      </c>
      <c r="I481">
        <f t="shared" si="22"/>
        <v>77010000236</v>
      </c>
    </row>
    <row r="482" spans="1:9" hidden="1" x14ac:dyDescent="0.35">
      <c r="A482" s="22">
        <v>77010000178</v>
      </c>
      <c r="B482" s="22">
        <v>5</v>
      </c>
      <c r="C482" s="23" t="s">
        <v>0</v>
      </c>
      <c r="D482" s="22">
        <v>5.97</v>
      </c>
      <c r="E482" s="39">
        <v>14</v>
      </c>
      <c r="F482">
        <f t="shared" si="21"/>
        <v>83.58</v>
      </c>
      <c r="G482">
        <f t="shared" si="23"/>
        <v>0.23333333333333334</v>
      </c>
      <c r="I482">
        <f t="shared" si="22"/>
        <v>77010000178</v>
      </c>
    </row>
    <row r="483" spans="1:9" hidden="1" x14ac:dyDescent="0.35">
      <c r="A483" s="22">
        <v>77010000207</v>
      </c>
      <c r="B483" s="22">
        <v>5</v>
      </c>
      <c r="C483" s="23" t="s">
        <v>0</v>
      </c>
      <c r="D483" s="22">
        <v>6.39</v>
      </c>
      <c r="E483" s="39">
        <v>15</v>
      </c>
      <c r="F483">
        <f t="shared" si="21"/>
        <v>95.85</v>
      </c>
      <c r="G483">
        <f t="shared" si="23"/>
        <v>0.25</v>
      </c>
      <c r="I483">
        <f t="shared" si="22"/>
        <v>77010000207</v>
      </c>
    </row>
    <row r="484" spans="1:9" hidden="1" x14ac:dyDescent="0.35">
      <c r="A484" s="22">
        <v>77010000202</v>
      </c>
      <c r="B484" s="22">
        <v>5</v>
      </c>
      <c r="C484" s="23" t="s">
        <v>0</v>
      </c>
      <c r="D484" s="22">
        <v>6.39</v>
      </c>
      <c r="E484" s="39">
        <v>15</v>
      </c>
      <c r="F484">
        <f t="shared" si="21"/>
        <v>95.85</v>
      </c>
      <c r="G484">
        <f t="shared" si="23"/>
        <v>0.25</v>
      </c>
      <c r="I484">
        <f t="shared" si="22"/>
        <v>77010000202</v>
      </c>
    </row>
    <row r="485" spans="1:9" hidden="1" x14ac:dyDescent="0.35">
      <c r="A485" s="22">
        <v>77010000194</v>
      </c>
      <c r="B485" s="22">
        <v>5</v>
      </c>
      <c r="C485" s="23" t="s">
        <v>0</v>
      </c>
      <c r="D485" s="22">
        <v>6.39</v>
      </c>
      <c r="E485" s="39">
        <v>15</v>
      </c>
      <c r="F485">
        <f t="shared" si="21"/>
        <v>95.85</v>
      </c>
      <c r="G485">
        <f t="shared" si="23"/>
        <v>0.25</v>
      </c>
      <c r="I485">
        <f t="shared" si="22"/>
        <v>77010000194</v>
      </c>
    </row>
    <row r="486" spans="1:9" hidden="1" x14ac:dyDescent="0.35">
      <c r="A486" s="22">
        <v>77010000177</v>
      </c>
      <c r="B486" s="22">
        <v>5</v>
      </c>
      <c r="C486" s="23" t="s">
        <v>0</v>
      </c>
      <c r="D486" s="22">
        <v>6.82</v>
      </c>
      <c r="E486" s="39">
        <v>16</v>
      </c>
      <c r="F486">
        <f t="shared" si="21"/>
        <v>109.12</v>
      </c>
      <c r="G486">
        <f t="shared" si="23"/>
        <v>0.26666666666666666</v>
      </c>
      <c r="I486">
        <f t="shared" si="22"/>
        <v>77010000177</v>
      </c>
    </row>
    <row r="487" spans="1:9" hidden="1" x14ac:dyDescent="0.35">
      <c r="A487" s="22">
        <v>77010000179</v>
      </c>
      <c r="B487" s="22">
        <v>5</v>
      </c>
      <c r="C487" s="23" t="s">
        <v>0</v>
      </c>
      <c r="D487" s="22">
        <v>6.82</v>
      </c>
      <c r="E487" s="39">
        <v>16</v>
      </c>
      <c r="F487">
        <f t="shared" si="21"/>
        <v>109.12</v>
      </c>
      <c r="G487">
        <f t="shared" si="23"/>
        <v>0.26666666666666666</v>
      </c>
      <c r="I487">
        <f t="shared" si="22"/>
        <v>77010000179</v>
      </c>
    </row>
    <row r="488" spans="1:9" hidden="1" x14ac:dyDescent="0.35">
      <c r="A488" s="22">
        <v>77010000206</v>
      </c>
      <c r="B488" s="22">
        <v>5</v>
      </c>
      <c r="C488" s="23" t="s">
        <v>0</v>
      </c>
      <c r="D488" s="22">
        <v>7.25</v>
      </c>
      <c r="E488" s="39">
        <v>17</v>
      </c>
      <c r="F488">
        <f t="shared" si="21"/>
        <v>123.25</v>
      </c>
      <c r="G488">
        <f t="shared" si="23"/>
        <v>0.28333333333333333</v>
      </c>
      <c r="I488">
        <f t="shared" si="22"/>
        <v>77010000206</v>
      </c>
    </row>
    <row r="489" spans="1:9" hidden="1" x14ac:dyDescent="0.35">
      <c r="A489" s="22">
        <v>77010000236</v>
      </c>
      <c r="B489" s="22">
        <v>5</v>
      </c>
      <c r="C489" s="23" t="s">
        <v>0</v>
      </c>
      <c r="D489" s="22">
        <v>7.25</v>
      </c>
      <c r="E489" s="39">
        <v>17</v>
      </c>
      <c r="F489">
        <f t="shared" si="21"/>
        <v>123.25</v>
      </c>
      <c r="G489">
        <f t="shared" si="23"/>
        <v>0.28333333333333333</v>
      </c>
      <c r="I489">
        <f t="shared" si="22"/>
        <v>77010000236</v>
      </c>
    </row>
    <row r="490" spans="1:9" hidden="1" x14ac:dyDescent="0.35">
      <c r="A490" s="22">
        <v>77010000179</v>
      </c>
      <c r="B490" s="22">
        <v>5</v>
      </c>
      <c r="C490" s="23" t="s">
        <v>0</v>
      </c>
      <c r="D490" s="22">
        <v>7.67</v>
      </c>
      <c r="E490" s="39">
        <v>18</v>
      </c>
      <c r="F490">
        <f t="shared" si="21"/>
        <v>138.06</v>
      </c>
      <c r="G490">
        <f t="shared" si="23"/>
        <v>0.3</v>
      </c>
      <c r="I490">
        <f t="shared" si="22"/>
        <v>77010000179</v>
      </c>
    </row>
    <row r="491" spans="1:9" hidden="1" x14ac:dyDescent="0.35">
      <c r="A491" s="22">
        <v>77010000188</v>
      </c>
      <c r="B491" s="22">
        <v>5</v>
      </c>
      <c r="C491" s="23" t="s">
        <v>0</v>
      </c>
      <c r="D491" s="22">
        <v>7.67</v>
      </c>
      <c r="E491" s="39">
        <v>18</v>
      </c>
      <c r="F491">
        <f t="shared" si="21"/>
        <v>138.06</v>
      </c>
      <c r="G491">
        <f t="shared" si="23"/>
        <v>0.3</v>
      </c>
      <c r="I491">
        <f t="shared" si="22"/>
        <v>77010000188</v>
      </c>
    </row>
    <row r="492" spans="1:9" hidden="1" x14ac:dyDescent="0.35">
      <c r="A492" s="22">
        <v>77010000191</v>
      </c>
      <c r="B492" s="22">
        <v>5</v>
      </c>
      <c r="C492" s="23" t="s">
        <v>0</v>
      </c>
      <c r="D492" s="22">
        <v>7.67</v>
      </c>
      <c r="E492" s="39">
        <v>18</v>
      </c>
      <c r="F492">
        <f t="shared" si="21"/>
        <v>138.06</v>
      </c>
      <c r="G492">
        <f t="shared" si="23"/>
        <v>0.3</v>
      </c>
      <c r="I492">
        <f t="shared" si="22"/>
        <v>77010000191</v>
      </c>
    </row>
    <row r="493" spans="1:9" hidden="1" x14ac:dyDescent="0.35">
      <c r="A493" s="22">
        <v>77010000194</v>
      </c>
      <c r="B493" s="22">
        <v>5</v>
      </c>
      <c r="C493" s="23" t="s">
        <v>0</v>
      </c>
      <c r="D493" s="22">
        <v>7.67</v>
      </c>
      <c r="E493" s="39">
        <v>18</v>
      </c>
      <c r="F493">
        <f t="shared" si="21"/>
        <v>138.06</v>
      </c>
      <c r="G493">
        <f t="shared" si="23"/>
        <v>0.3</v>
      </c>
      <c r="I493">
        <f t="shared" si="22"/>
        <v>77010000194</v>
      </c>
    </row>
    <row r="494" spans="1:9" hidden="1" x14ac:dyDescent="0.35">
      <c r="A494" s="22">
        <v>77010000195</v>
      </c>
      <c r="B494" s="22">
        <v>5</v>
      </c>
      <c r="C494" s="23" t="s">
        <v>0</v>
      </c>
      <c r="D494" s="22">
        <v>7.67</v>
      </c>
      <c r="E494" s="39">
        <v>18</v>
      </c>
      <c r="F494">
        <f t="shared" si="21"/>
        <v>138.06</v>
      </c>
      <c r="G494">
        <f t="shared" si="23"/>
        <v>0.3</v>
      </c>
      <c r="I494">
        <f t="shared" si="22"/>
        <v>77010000195</v>
      </c>
    </row>
    <row r="495" spans="1:9" hidden="1" x14ac:dyDescent="0.35">
      <c r="A495" s="22">
        <v>77010000185</v>
      </c>
      <c r="B495" s="22">
        <v>5</v>
      </c>
      <c r="C495" s="23" t="s">
        <v>0</v>
      </c>
      <c r="D495" s="22">
        <v>7.67</v>
      </c>
      <c r="E495" s="39">
        <v>18</v>
      </c>
      <c r="F495">
        <f t="shared" si="21"/>
        <v>138.06</v>
      </c>
      <c r="G495">
        <f t="shared" si="23"/>
        <v>0.3</v>
      </c>
      <c r="I495">
        <f t="shared" si="22"/>
        <v>77010000185</v>
      </c>
    </row>
    <row r="496" spans="1:9" hidden="1" x14ac:dyDescent="0.35">
      <c r="A496" s="22">
        <v>77010000188</v>
      </c>
      <c r="B496" s="22">
        <v>5</v>
      </c>
      <c r="C496" s="23" t="s">
        <v>0</v>
      </c>
      <c r="D496" s="22">
        <v>7.67</v>
      </c>
      <c r="E496" s="39">
        <v>18</v>
      </c>
      <c r="F496">
        <f t="shared" si="21"/>
        <v>138.06</v>
      </c>
      <c r="G496">
        <f t="shared" si="23"/>
        <v>0.3</v>
      </c>
      <c r="I496">
        <f t="shared" si="22"/>
        <v>77010000188</v>
      </c>
    </row>
    <row r="497" spans="1:9" hidden="1" x14ac:dyDescent="0.35">
      <c r="A497" s="22">
        <v>77010000213</v>
      </c>
      <c r="B497" s="22">
        <v>5</v>
      </c>
      <c r="C497" s="23" t="s">
        <v>1</v>
      </c>
      <c r="D497" s="22">
        <v>14.87</v>
      </c>
      <c r="E497" s="39">
        <v>18</v>
      </c>
      <c r="F497">
        <f t="shared" si="21"/>
        <v>267.65999999999997</v>
      </c>
      <c r="G497">
        <f t="shared" si="23"/>
        <v>0.3</v>
      </c>
      <c r="I497">
        <f t="shared" si="22"/>
        <v>77010000213</v>
      </c>
    </row>
    <row r="498" spans="1:9" hidden="1" x14ac:dyDescent="0.35">
      <c r="A498" s="22">
        <v>77010000230</v>
      </c>
      <c r="B498" s="22">
        <v>5</v>
      </c>
      <c r="C498" s="23" t="s">
        <v>0</v>
      </c>
      <c r="D498" s="22">
        <v>7.67</v>
      </c>
      <c r="E498" s="39">
        <v>18</v>
      </c>
      <c r="F498">
        <f t="shared" si="21"/>
        <v>138.06</v>
      </c>
      <c r="G498">
        <f t="shared" si="23"/>
        <v>0.3</v>
      </c>
      <c r="I498">
        <f t="shared" si="22"/>
        <v>77010000230</v>
      </c>
    </row>
    <row r="499" spans="1:9" hidden="1" x14ac:dyDescent="0.35">
      <c r="A499" s="22">
        <v>77010000217</v>
      </c>
      <c r="B499" s="22">
        <v>5</v>
      </c>
      <c r="C499" s="23" t="s">
        <v>0</v>
      </c>
      <c r="D499" s="22">
        <v>7.67</v>
      </c>
      <c r="E499" s="39">
        <v>18</v>
      </c>
      <c r="F499">
        <f t="shared" si="21"/>
        <v>138.06</v>
      </c>
      <c r="G499">
        <f t="shared" si="23"/>
        <v>0.3</v>
      </c>
      <c r="I499">
        <f t="shared" si="22"/>
        <v>77010000217</v>
      </c>
    </row>
    <row r="500" spans="1:9" hidden="1" x14ac:dyDescent="0.35">
      <c r="A500" s="22">
        <v>77010000183</v>
      </c>
      <c r="B500" s="22">
        <v>5</v>
      </c>
      <c r="C500" s="23" t="s">
        <v>0</v>
      </c>
      <c r="D500" s="22">
        <v>8.1</v>
      </c>
      <c r="E500" s="39">
        <v>19</v>
      </c>
      <c r="F500">
        <f t="shared" si="21"/>
        <v>153.9</v>
      </c>
      <c r="G500">
        <f t="shared" si="23"/>
        <v>0.31666666666666665</v>
      </c>
      <c r="I500">
        <f t="shared" si="22"/>
        <v>77010000183</v>
      </c>
    </row>
    <row r="501" spans="1:9" hidden="1" x14ac:dyDescent="0.35">
      <c r="A501" s="22">
        <v>77010000176</v>
      </c>
      <c r="B501" s="22">
        <v>5</v>
      </c>
      <c r="C501" s="23" t="s">
        <v>0</v>
      </c>
      <c r="D501" s="22">
        <v>8.1</v>
      </c>
      <c r="E501" s="39">
        <v>19</v>
      </c>
      <c r="F501">
        <f t="shared" si="21"/>
        <v>153.9</v>
      </c>
      <c r="G501">
        <f t="shared" si="23"/>
        <v>0.31666666666666665</v>
      </c>
      <c r="I501">
        <f t="shared" si="22"/>
        <v>77010000176</v>
      </c>
    </row>
    <row r="502" spans="1:9" hidden="1" x14ac:dyDescent="0.35">
      <c r="A502" s="22">
        <v>77010000180</v>
      </c>
      <c r="B502" s="22">
        <v>5</v>
      </c>
      <c r="C502" s="23" t="s">
        <v>0</v>
      </c>
      <c r="D502" s="22">
        <v>8.1</v>
      </c>
      <c r="E502" s="39">
        <v>19</v>
      </c>
      <c r="F502">
        <f t="shared" si="21"/>
        <v>153.9</v>
      </c>
      <c r="G502">
        <f t="shared" si="23"/>
        <v>0.31666666666666665</v>
      </c>
      <c r="I502">
        <f t="shared" si="22"/>
        <v>77010000180</v>
      </c>
    </row>
    <row r="503" spans="1:9" hidden="1" x14ac:dyDescent="0.35">
      <c r="A503" s="22">
        <v>77010000232</v>
      </c>
      <c r="B503" s="22">
        <v>5</v>
      </c>
      <c r="C503" s="23" t="s">
        <v>0</v>
      </c>
      <c r="D503" s="22">
        <v>8.1</v>
      </c>
      <c r="E503" s="39">
        <v>19</v>
      </c>
      <c r="F503">
        <f t="shared" si="21"/>
        <v>153.9</v>
      </c>
      <c r="G503">
        <f t="shared" si="23"/>
        <v>0.31666666666666665</v>
      </c>
      <c r="I503">
        <f t="shared" si="22"/>
        <v>77010000232</v>
      </c>
    </row>
    <row r="504" spans="1:9" hidden="1" x14ac:dyDescent="0.35">
      <c r="A504" s="22">
        <v>77010000204</v>
      </c>
      <c r="B504" s="22">
        <v>5</v>
      </c>
      <c r="C504" s="23" t="s">
        <v>0</v>
      </c>
      <c r="D504" s="22">
        <v>8.52</v>
      </c>
      <c r="E504" s="39">
        <v>20</v>
      </c>
      <c r="F504">
        <f t="shared" si="21"/>
        <v>170.39999999999998</v>
      </c>
      <c r="G504">
        <f t="shared" si="23"/>
        <v>0.33333333333333331</v>
      </c>
      <c r="I504">
        <f t="shared" si="22"/>
        <v>77010000204</v>
      </c>
    </row>
    <row r="505" spans="1:9" hidden="1" x14ac:dyDescent="0.35">
      <c r="A505" s="22">
        <v>77010000208</v>
      </c>
      <c r="B505" s="22">
        <v>5</v>
      </c>
      <c r="C505" s="23" t="s">
        <v>2</v>
      </c>
      <c r="D505" s="22">
        <v>14.87</v>
      </c>
      <c r="E505" s="39">
        <v>20</v>
      </c>
      <c r="F505">
        <f t="shared" si="21"/>
        <v>297.39999999999998</v>
      </c>
      <c r="G505">
        <f t="shared" si="23"/>
        <v>0.33333333333333331</v>
      </c>
      <c r="I505">
        <f t="shared" si="22"/>
        <v>77010000208</v>
      </c>
    </row>
    <row r="506" spans="1:9" hidden="1" x14ac:dyDescent="0.35">
      <c r="A506" s="22">
        <v>77010000234</v>
      </c>
      <c r="B506" s="22">
        <v>5</v>
      </c>
      <c r="C506" s="23" t="s">
        <v>0</v>
      </c>
      <c r="D506" s="22">
        <v>8.52</v>
      </c>
      <c r="E506" s="39">
        <v>20</v>
      </c>
      <c r="F506">
        <f t="shared" si="21"/>
        <v>170.39999999999998</v>
      </c>
      <c r="G506">
        <f t="shared" si="23"/>
        <v>0.33333333333333331</v>
      </c>
      <c r="I506">
        <f t="shared" si="22"/>
        <v>77010000234</v>
      </c>
    </row>
    <row r="507" spans="1:9" hidden="1" x14ac:dyDescent="0.35">
      <c r="A507" s="22">
        <v>77010000196</v>
      </c>
      <c r="B507" s="22">
        <v>5</v>
      </c>
      <c r="C507" s="23" t="s">
        <v>0</v>
      </c>
      <c r="D507" s="22">
        <v>8.9499999999999993</v>
      </c>
      <c r="E507" s="39">
        <v>21</v>
      </c>
      <c r="F507">
        <f t="shared" si="21"/>
        <v>187.95</v>
      </c>
      <c r="G507">
        <f t="shared" si="23"/>
        <v>0.35</v>
      </c>
      <c r="I507">
        <f t="shared" si="22"/>
        <v>77010000196</v>
      </c>
    </row>
    <row r="508" spans="1:9" hidden="1" x14ac:dyDescent="0.35">
      <c r="A508" s="22">
        <v>77010000170</v>
      </c>
      <c r="B508" s="22">
        <v>5</v>
      </c>
      <c r="C508" s="23" t="s">
        <v>0</v>
      </c>
      <c r="D508" s="22">
        <v>9.3800000000000008</v>
      </c>
      <c r="E508" s="39">
        <v>22</v>
      </c>
      <c r="F508">
        <f t="shared" si="21"/>
        <v>206.36</v>
      </c>
      <c r="G508">
        <f t="shared" si="23"/>
        <v>0.36666666666666664</v>
      </c>
      <c r="I508">
        <f t="shared" si="22"/>
        <v>77010000170</v>
      </c>
    </row>
    <row r="509" spans="1:9" hidden="1" x14ac:dyDescent="0.35">
      <c r="A509" s="22">
        <v>77010000173</v>
      </c>
      <c r="B509" s="22">
        <v>5</v>
      </c>
      <c r="C509" s="23" t="s">
        <v>0</v>
      </c>
      <c r="D509" s="22">
        <v>9.3800000000000008</v>
      </c>
      <c r="E509" s="39">
        <v>22</v>
      </c>
      <c r="F509">
        <f t="shared" si="21"/>
        <v>206.36</v>
      </c>
      <c r="G509">
        <f t="shared" si="23"/>
        <v>0.36666666666666664</v>
      </c>
      <c r="I509">
        <f t="shared" si="22"/>
        <v>77010000173</v>
      </c>
    </row>
    <row r="510" spans="1:9" hidden="1" x14ac:dyDescent="0.35">
      <c r="A510" s="22">
        <v>77010000211</v>
      </c>
      <c r="B510" s="22">
        <v>5</v>
      </c>
      <c r="C510" s="23" t="s">
        <v>0</v>
      </c>
      <c r="D510" s="22">
        <v>9.3800000000000008</v>
      </c>
      <c r="E510" s="39">
        <v>22</v>
      </c>
      <c r="F510">
        <f t="shared" si="21"/>
        <v>206.36</v>
      </c>
      <c r="G510">
        <f t="shared" si="23"/>
        <v>0.36666666666666664</v>
      </c>
      <c r="I510">
        <f t="shared" si="22"/>
        <v>77010000211</v>
      </c>
    </row>
    <row r="511" spans="1:9" hidden="1" x14ac:dyDescent="0.35">
      <c r="A511" s="22">
        <v>77010000181</v>
      </c>
      <c r="B511" s="22">
        <v>5</v>
      </c>
      <c r="C511" s="23" t="s">
        <v>0</v>
      </c>
      <c r="D511" s="22">
        <v>9.8000000000000007</v>
      </c>
      <c r="E511" s="39">
        <v>23</v>
      </c>
      <c r="F511">
        <f t="shared" si="21"/>
        <v>225.4</v>
      </c>
      <c r="G511">
        <f t="shared" si="23"/>
        <v>0.38333333333333336</v>
      </c>
      <c r="I511">
        <f t="shared" si="22"/>
        <v>77010000181</v>
      </c>
    </row>
    <row r="512" spans="1:9" hidden="1" x14ac:dyDescent="0.35">
      <c r="A512" s="22">
        <v>77010000186</v>
      </c>
      <c r="B512" s="22">
        <v>5</v>
      </c>
      <c r="C512" s="23" t="s">
        <v>0</v>
      </c>
      <c r="D512" s="22">
        <v>9.8000000000000007</v>
      </c>
      <c r="E512" s="39">
        <v>23</v>
      </c>
      <c r="F512">
        <f t="shared" si="21"/>
        <v>225.4</v>
      </c>
      <c r="G512">
        <f t="shared" si="23"/>
        <v>0.38333333333333336</v>
      </c>
      <c r="I512">
        <f t="shared" si="22"/>
        <v>77010000186</v>
      </c>
    </row>
    <row r="513" spans="1:9" hidden="1" x14ac:dyDescent="0.35">
      <c r="A513" s="22">
        <v>77010000229</v>
      </c>
      <c r="B513" s="22">
        <v>5</v>
      </c>
      <c r="C513" s="23" t="s">
        <v>0</v>
      </c>
      <c r="D513" s="22">
        <v>9.8000000000000007</v>
      </c>
      <c r="E513" s="39">
        <v>23</v>
      </c>
      <c r="F513">
        <f t="shared" si="21"/>
        <v>225.4</v>
      </c>
      <c r="G513">
        <f t="shared" si="23"/>
        <v>0.38333333333333336</v>
      </c>
      <c r="I513">
        <f t="shared" si="22"/>
        <v>77010000229</v>
      </c>
    </row>
    <row r="514" spans="1:9" hidden="1" x14ac:dyDescent="0.35">
      <c r="A514" s="22">
        <v>77010000205</v>
      </c>
      <c r="B514" s="22">
        <v>5</v>
      </c>
      <c r="C514" s="23" t="s">
        <v>0</v>
      </c>
      <c r="D514" s="22">
        <v>10.66</v>
      </c>
      <c r="E514" s="39">
        <v>25</v>
      </c>
      <c r="F514">
        <f t="shared" ref="F514:F577" si="24">D514*E514</f>
        <v>266.5</v>
      </c>
      <c r="G514">
        <f t="shared" si="23"/>
        <v>0.41666666666666669</v>
      </c>
      <c r="I514">
        <f t="shared" ref="I514:I577" si="25">_xlfn.UNIQUE(A514,$A:$A,A514)</f>
        <v>77010000205</v>
      </c>
    </row>
    <row r="515" spans="1:9" hidden="1" x14ac:dyDescent="0.35">
      <c r="A515" s="22">
        <v>77010000222</v>
      </c>
      <c r="B515" s="22">
        <v>5</v>
      </c>
      <c r="C515" s="23" t="s">
        <v>0</v>
      </c>
      <c r="D515" s="22">
        <v>11.08</v>
      </c>
      <c r="E515" s="39">
        <v>26</v>
      </c>
      <c r="F515">
        <f t="shared" si="24"/>
        <v>288.08</v>
      </c>
      <c r="G515">
        <f t="shared" ref="G515:G578" si="26">E515/60</f>
        <v>0.43333333333333335</v>
      </c>
      <c r="I515">
        <f t="shared" si="25"/>
        <v>77010000222</v>
      </c>
    </row>
    <row r="516" spans="1:9" hidden="1" x14ac:dyDescent="0.35">
      <c r="A516" s="22">
        <v>77010000225</v>
      </c>
      <c r="B516" s="22">
        <v>5</v>
      </c>
      <c r="C516" s="23" t="s">
        <v>0</v>
      </c>
      <c r="D516" s="22">
        <v>11.08</v>
      </c>
      <c r="E516" s="39">
        <v>26</v>
      </c>
      <c r="F516">
        <f t="shared" si="24"/>
        <v>288.08</v>
      </c>
      <c r="G516">
        <f t="shared" si="26"/>
        <v>0.43333333333333335</v>
      </c>
      <c r="I516">
        <f t="shared" si="25"/>
        <v>77010000225</v>
      </c>
    </row>
    <row r="517" spans="1:9" hidden="1" x14ac:dyDescent="0.35">
      <c r="A517" s="22">
        <v>77010000214</v>
      </c>
      <c r="B517" s="22">
        <v>5</v>
      </c>
      <c r="C517" s="23" t="s">
        <v>0</v>
      </c>
      <c r="D517" s="22">
        <v>11.93</v>
      </c>
      <c r="E517" s="39">
        <v>28</v>
      </c>
      <c r="F517">
        <f t="shared" si="24"/>
        <v>334.03999999999996</v>
      </c>
      <c r="G517">
        <f t="shared" si="26"/>
        <v>0.46666666666666667</v>
      </c>
      <c r="I517">
        <f t="shared" si="25"/>
        <v>77010000214</v>
      </c>
    </row>
    <row r="518" spans="1:9" hidden="1" x14ac:dyDescent="0.35">
      <c r="A518" s="22">
        <v>77010000211</v>
      </c>
      <c r="B518" s="22">
        <v>5</v>
      </c>
      <c r="C518" s="23" t="s">
        <v>0</v>
      </c>
      <c r="D518" s="22">
        <v>13.21</v>
      </c>
      <c r="E518" s="39">
        <v>31</v>
      </c>
      <c r="F518">
        <f t="shared" si="24"/>
        <v>409.51000000000005</v>
      </c>
      <c r="G518">
        <f t="shared" si="26"/>
        <v>0.51666666666666672</v>
      </c>
      <c r="I518">
        <f t="shared" si="25"/>
        <v>77010000211</v>
      </c>
    </row>
    <row r="519" spans="1:9" hidden="1" x14ac:dyDescent="0.35">
      <c r="A519" s="22">
        <v>77010000215</v>
      </c>
      <c r="B519" s="22">
        <v>5</v>
      </c>
      <c r="C519" s="23" t="s">
        <v>0</v>
      </c>
      <c r="D519" s="22">
        <v>14.06</v>
      </c>
      <c r="E519" s="39">
        <v>33</v>
      </c>
      <c r="F519">
        <f t="shared" si="24"/>
        <v>463.98</v>
      </c>
      <c r="G519">
        <f t="shared" si="26"/>
        <v>0.55000000000000004</v>
      </c>
      <c r="I519">
        <f t="shared" si="25"/>
        <v>77010000215</v>
      </c>
    </row>
    <row r="520" spans="1:9" hidden="1" x14ac:dyDescent="0.35">
      <c r="A520" s="22">
        <v>77010000262</v>
      </c>
      <c r="B520" s="22">
        <v>6</v>
      </c>
      <c r="C520" s="23" t="s">
        <v>0</v>
      </c>
      <c r="D520" s="22">
        <v>0</v>
      </c>
      <c r="E520" s="39">
        <v>0</v>
      </c>
      <c r="F520">
        <f t="shared" si="24"/>
        <v>0</v>
      </c>
      <c r="G520">
        <f t="shared" si="26"/>
        <v>0</v>
      </c>
      <c r="I520">
        <f t="shared" si="25"/>
        <v>77010000262</v>
      </c>
    </row>
    <row r="521" spans="1:9" hidden="1" x14ac:dyDescent="0.35">
      <c r="A521" s="22">
        <v>77010000240</v>
      </c>
      <c r="B521" s="22">
        <v>6</v>
      </c>
      <c r="C521" s="23" t="s">
        <v>0</v>
      </c>
      <c r="D521" s="22">
        <v>4.26</v>
      </c>
      <c r="E521" s="39">
        <v>1</v>
      </c>
      <c r="F521">
        <f t="shared" si="24"/>
        <v>4.26</v>
      </c>
      <c r="G521">
        <f t="shared" si="26"/>
        <v>1.6666666666666666E-2</v>
      </c>
      <c r="I521">
        <f t="shared" si="25"/>
        <v>77010000240</v>
      </c>
    </row>
    <row r="522" spans="1:9" hidden="1" x14ac:dyDescent="0.35">
      <c r="A522" s="22">
        <v>77010000244</v>
      </c>
      <c r="B522" s="22">
        <v>6</v>
      </c>
      <c r="C522" s="23" t="s">
        <v>0</v>
      </c>
      <c r="D522" s="22">
        <v>4.26</v>
      </c>
      <c r="E522" s="39">
        <v>1</v>
      </c>
      <c r="F522">
        <f t="shared" si="24"/>
        <v>4.26</v>
      </c>
      <c r="G522">
        <f t="shared" si="26"/>
        <v>1.6666666666666666E-2</v>
      </c>
      <c r="I522">
        <f t="shared" si="25"/>
        <v>77010000244</v>
      </c>
    </row>
    <row r="523" spans="1:9" hidden="1" x14ac:dyDescent="0.35">
      <c r="A523" s="22">
        <v>77010000245</v>
      </c>
      <c r="B523" s="22">
        <v>6</v>
      </c>
      <c r="C523" s="23" t="s">
        <v>0</v>
      </c>
      <c r="D523" s="22">
        <v>4.26</v>
      </c>
      <c r="E523" s="39">
        <v>1</v>
      </c>
      <c r="F523">
        <f t="shared" si="24"/>
        <v>4.26</v>
      </c>
      <c r="G523">
        <f t="shared" si="26"/>
        <v>1.6666666666666666E-2</v>
      </c>
      <c r="I523">
        <f t="shared" si="25"/>
        <v>77010000245</v>
      </c>
    </row>
    <row r="524" spans="1:9" hidden="1" x14ac:dyDescent="0.35">
      <c r="A524" s="22">
        <v>77010000247</v>
      </c>
      <c r="B524" s="22">
        <v>6</v>
      </c>
      <c r="C524" s="23" t="s">
        <v>0</v>
      </c>
      <c r="D524" s="22">
        <v>4.26</v>
      </c>
      <c r="E524" s="39">
        <v>1</v>
      </c>
      <c r="F524">
        <f t="shared" si="24"/>
        <v>4.26</v>
      </c>
      <c r="G524">
        <f t="shared" si="26"/>
        <v>1.6666666666666666E-2</v>
      </c>
      <c r="I524">
        <f t="shared" si="25"/>
        <v>77010000247</v>
      </c>
    </row>
    <row r="525" spans="1:9" hidden="1" x14ac:dyDescent="0.35">
      <c r="A525" s="22">
        <v>77010000252</v>
      </c>
      <c r="B525" s="22">
        <v>6</v>
      </c>
      <c r="C525" s="23" t="s">
        <v>0</v>
      </c>
      <c r="D525" s="22">
        <v>4.26</v>
      </c>
      <c r="E525" s="39">
        <v>1</v>
      </c>
      <c r="F525">
        <f t="shared" si="24"/>
        <v>4.26</v>
      </c>
      <c r="G525">
        <f t="shared" si="26"/>
        <v>1.6666666666666666E-2</v>
      </c>
      <c r="I525">
        <f t="shared" si="25"/>
        <v>77010000252</v>
      </c>
    </row>
    <row r="526" spans="1:9" hidden="1" x14ac:dyDescent="0.35">
      <c r="A526" s="22">
        <v>77010000269</v>
      </c>
      <c r="B526" s="22">
        <v>6</v>
      </c>
      <c r="C526" s="23" t="s">
        <v>0</v>
      </c>
      <c r="D526" s="22">
        <v>4.26</v>
      </c>
      <c r="E526" s="39">
        <v>1</v>
      </c>
      <c r="F526">
        <f t="shared" si="24"/>
        <v>4.26</v>
      </c>
      <c r="G526">
        <f t="shared" si="26"/>
        <v>1.6666666666666666E-2</v>
      </c>
      <c r="I526">
        <f t="shared" si="25"/>
        <v>77010000269</v>
      </c>
    </row>
    <row r="527" spans="1:9" hidden="1" x14ac:dyDescent="0.35">
      <c r="A527" s="22">
        <v>77010000273</v>
      </c>
      <c r="B527" s="22">
        <v>6</v>
      </c>
      <c r="C527" s="23" t="s">
        <v>0</v>
      </c>
      <c r="D527" s="22">
        <v>4.26</v>
      </c>
      <c r="E527" s="39">
        <v>1</v>
      </c>
      <c r="F527">
        <f t="shared" si="24"/>
        <v>4.26</v>
      </c>
      <c r="G527">
        <f t="shared" si="26"/>
        <v>1.6666666666666666E-2</v>
      </c>
      <c r="I527">
        <f t="shared" si="25"/>
        <v>77010000273</v>
      </c>
    </row>
    <row r="528" spans="1:9" hidden="1" x14ac:dyDescent="0.35">
      <c r="A528" s="22">
        <v>77010000287</v>
      </c>
      <c r="B528" s="22">
        <v>6</v>
      </c>
      <c r="C528" s="23" t="s">
        <v>0</v>
      </c>
      <c r="D528" s="22">
        <v>4.26</v>
      </c>
      <c r="E528" s="39">
        <v>1</v>
      </c>
      <c r="F528">
        <f t="shared" si="24"/>
        <v>4.26</v>
      </c>
      <c r="G528">
        <f t="shared" si="26"/>
        <v>1.6666666666666666E-2</v>
      </c>
      <c r="I528">
        <f t="shared" si="25"/>
        <v>77010000287</v>
      </c>
    </row>
    <row r="529" spans="1:9" hidden="1" x14ac:dyDescent="0.35">
      <c r="A529" s="22">
        <v>77010000288</v>
      </c>
      <c r="B529" s="22">
        <v>6</v>
      </c>
      <c r="C529" s="23" t="s">
        <v>0</v>
      </c>
      <c r="D529" s="22">
        <v>4.26</v>
      </c>
      <c r="E529" s="39">
        <v>1</v>
      </c>
      <c r="F529">
        <f t="shared" si="24"/>
        <v>4.26</v>
      </c>
      <c r="G529">
        <f t="shared" si="26"/>
        <v>1.6666666666666666E-2</v>
      </c>
      <c r="I529">
        <f t="shared" si="25"/>
        <v>77010000288</v>
      </c>
    </row>
    <row r="530" spans="1:9" hidden="1" x14ac:dyDescent="0.35">
      <c r="A530" s="22">
        <v>77010000291</v>
      </c>
      <c r="B530" s="22">
        <v>6</v>
      </c>
      <c r="C530" s="23" t="s">
        <v>0</v>
      </c>
      <c r="D530" s="22">
        <v>4.26</v>
      </c>
      <c r="E530" s="39">
        <v>1</v>
      </c>
      <c r="F530">
        <f t="shared" si="24"/>
        <v>4.26</v>
      </c>
      <c r="G530">
        <f t="shared" si="26"/>
        <v>1.6666666666666666E-2</v>
      </c>
      <c r="I530">
        <f t="shared" si="25"/>
        <v>77010000291</v>
      </c>
    </row>
    <row r="531" spans="1:9" hidden="1" x14ac:dyDescent="0.35">
      <c r="A531" s="22">
        <v>77010000293</v>
      </c>
      <c r="B531" s="22">
        <v>6</v>
      </c>
      <c r="C531" s="23" t="s">
        <v>1</v>
      </c>
      <c r="D531" s="22">
        <v>7.43</v>
      </c>
      <c r="E531" s="39">
        <v>1</v>
      </c>
      <c r="F531">
        <f t="shared" si="24"/>
        <v>7.43</v>
      </c>
      <c r="G531">
        <f t="shared" si="26"/>
        <v>1.6666666666666666E-2</v>
      </c>
      <c r="I531">
        <f t="shared" si="25"/>
        <v>77010000293</v>
      </c>
    </row>
    <row r="532" spans="1:9" hidden="1" x14ac:dyDescent="0.35">
      <c r="A532" s="22">
        <v>77010000310</v>
      </c>
      <c r="B532" s="22">
        <v>6</v>
      </c>
      <c r="C532" s="23" t="s">
        <v>0</v>
      </c>
      <c r="D532" s="22">
        <v>4.26</v>
      </c>
      <c r="E532" s="39">
        <v>1</v>
      </c>
      <c r="F532">
        <f t="shared" si="24"/>
        <v>4.26</v>
      </c>
      <c r="G532">
        <f t="shared" si="26"/>
        <v>1.6666666666666666E-2</v>
      </c>
      <c r="I532">
        <f t="shared" si="25"/>
        <v>77010000310</v>
      </c>
    </row>
    <row r="533" spans="1:9" hidden="1" x14ac:dyDescent="0.35">
      <c r="A533" s="22">
        <v>77010000244</v>
      </c>
      <c r="B533" s="22">
        <v>6</v>
      </c>
      <c r="C533" s="23" t="s">
        <v>0</v>
      </c>
      <c r="D533" s="22">
        <v>4.26</v>
      </c>
      <c r="E533" s="39">
        <v>1</v>
      </c>
      <c r="F533">
        <f t="shared" si="24"/>
        <v>4.26</v>
      </c>
      <c r="G533">
        <f t="shared" si="26"/>
        <v>1.6666666666666666E-2</v>
      </c>
      <c r="I533">
        <f t="shared" si="25"/>
        <v>77010000244</v>
      </c>
    </row>
    <row r="534" spans="1:9" hidden="1" x14ac:dyDescent="0.35">
      <c r="A534" s="22">
        <v>77010000271</v>
      </c>
      <c r="B534" s="22">
        <v>6</v>
      </c>
      <c r="C534" s="23" t="s">
        <v>1</v>
      </c>
      <c r="D534" s="22">
        <v>7.43</v>
      </c>
      <c r="E534" s="39">
        <v>1</v>
      </c>
      <c r="F534">
        <f t="shared" si="24"/>
        <v>7.43</v>
      </c>
      <c r="G534">
        <f t="shared" si="26"/>
        <v>1.6666666666666666E-2</v>
      </c>
      <c r="I534">
        <f t="shared" si="25"/>
        <v>77010000271</v>
      </c>
    </row>
    <row r="535" spans="1:9" hidden="1" x14ac:dyDescent="0.35">
      <c r="A535" s="22">
        <v>77010000239</v>
      </c>
      <c r="B535" s="22">
        <v>6</v>
      </c>
      <c r="C535" s="23" t="s">
        <v>0</v>
      </c>
      <c r="D535" s="22">
        <v>4.26</v>
      </c>
      <c r="E535" s="39">
        <v>2</v>
      </c>
      <c r="F535">
        <f t="shared" si="24"/>
        <v>8.52</v>
      </c>
      <c r="G535">
        <f t="shared" si="26"/>
        <v>3.3333333333333333E-2</v>
      </c>
      <c r="I535">
        <f t="shared" si="25"/>
        <v>77010000239</v>
      </c>
    </row>
    <row r="536" spans="1:9" hidden="1" x14ac:dyDescent="0.35">
      <c r="A536" s="22">
        <v>77010000243</v>
      </c>
      <c r="B536" s="22">
        <v>6</v>
      </c>
      <c r="C536" s="23" t="s">
        <v>0</v>
      </c>
      <c r="D536" s="22">
        <v>4.26</v>
      </c>
      <c r="E536" s="39">
        <v>2</v>
      </c>
      <c r="F536">
        <f t="shared" si="24"/>
        <v>8.52</v>
      </c>
      <c r="G536">
        <f t="shared" si="26"/>
        <v>3.3333333333333333E-2</v>
      </c>
      <c r="I536">
        <f t="shared" si="25"/>
        <v>77010000243</v>
      </c>
    </row>
    <row r="537" spans="1:9" hidden="1" x14ac:dyDescent="0.35">
      <c r="A537" s="22">
        <v>77010000251</v>
      </c>
      <c r="B537" s="22">
        <v>6</v>
      </c>
      <c r="C537" s="23" t="s">
        <v>0</v>
      </c>
      <c r="D537" s="22">
        <v>4.26</v>
      </c>
      <c r="E537" s="39">
        <v>2</v>
      </c>
      <c r="F537">
        <f t="shared" si="24"/>
        <v>8.52</v>
      </c>
      <c r="G537">
        <f t="shared" si="26"/>
        <v>3.3333333333333333E-2</v>
      </c>
      <c r="I537">
        <f t="shared" si="25"/>
        <v>77010000251</v>
      </c>
    </row>
    <row r="538" spans="1:9" hidden="1" x14ac:dyDescent="0.35">
      <c r="A538" s="22">
        <v>77010000306</v>
      </c>
      <c r="B538" s="22">
        <v>6</v>
      </c>
      <c r="C538" s="23" t="s">
        <v>0</v>
      </c>
      <c r="D538" s="22">
        <v>4.26</v>
      </c>
      <c r="E538" s="39">
        <v>2</v>
      </c>
      <c r="F538">
        <f t="shared" si="24"/>
        <v>8.52</v>
      </c>
      <c r="G538">
        <f t="shared" si="26"/>
        <v>3.3333333333333333E-2</v>
      </c>
      <c r="I538">
        <f t="shared" si="25"/>
        <v>77010000306</v>
      </c>
    </row>
    <row r="539" spans="1:9" hidden="1" x14ac:dyDescent="0.35">
      <c r="A539" s="22">
        <v>77010000273</v>
      </c>
      <c r="B539" s="22">
        <v>6</v>
      </c>
      <c r="C539" s="23" t="s">
        <v>0</v>
      </c>
      <c r="D539" s="22">
        <v>4.26</v>
      </c>
      <c r="E539" s="39">
        <v>2</v>
      </c>
      <c r="F539">
        <f t="shared" si="24"/>
        <v>8.52</v>
      </c>
      <c r="G539">
        <f t="shared" si="26"/>
        <v>3.3333333333333333E-2</v>
      </c>
      <c r="I539">
        <f t="shared" si="25"/>
        <v>77010000273</v>
      </c>
    </row>
    <row r="540" spans="1:9" hidden="1" x14ac:dyDescent="0.35">
      <c r="A540" s="22">
        <v>77010000279</v>
      </c>
      <c r="B540" s="22">
        <v>6</v>
      </c>
      <c r="C540" s="23" t="s">
        <v>0</v>
      </c>
      <c r="D540" s="22">
        <v>4.26</v>
      </c>
      <c r="E540" s="39">
        <v>2</v>
      </c>
      <c r="F540">
        <f t="shared" si="24"/>
        <v>8.52</v>
      </c>
      <c r="G540">
        <f t="shared" si="26"/>
        <v>3.3333333333333333E-2</v>
      </c>
      <c r="I540">
        <f t="shared" si="25"/>
        <v>77010000279</v>
      </c>
    </row>
    <row r="541" spans="1:9" hidden="1" x14ac:dyDescent="0.35">
      <c r="A541" s="22">
        <v>77010000281</v>
      </c>
      <c r="B541" s="22">
        <v>6</v>
      </c>
      <c r="C541" s="23" t="s">
        <v>0</v>
      </c>
      <c r="D541" s="22">
        <v>4.26</v>
      </c>
      <c r="E541" s="39">
        <v>2</v>
      </c>
      <c r="F541">
        <f t="shared" si="24"/>
        <v>8.52</v>
      </c>
      <c r="G541">
        <f t="shared" si="26"/>
        <v>3.3333333333333333E-2</v>
      </c>
      <c r="I541">
        <f t="shared" si="25"/>
        <v>77010000281</v>
      </c>
    </row>
    <row r="542" spans="1:9" hidden="1" x14ac:dyDescent="0.35">
      <c r="A542" s="22">
        <v>77010000238</v>
      </c>
      <c r="B542" s="22">
        <v>6</v>
      </c>
      <c r="C542" s="23" t="s">
        <v>0</v>
      </c>
      <c r="D542" s="22">
        <v>4.26</v>
      </c>
      <c r="E542" s="39">
        <v>3</v>
      </c>
      <c r="F542">
        <f t="shared" si="24"/>
        <v>12.78</v>
      </c>
      <c r="G542">
        <f t="shared" si="26"/>
        <v>0.05</v>
      </c>
      <c r="I542">
        <f t="shared" si="25"/>
        <v>77010000238</v>
      </c>
    </row>
    <row r="543" spans="1:9" hidden="1" x14ac:dyDescent="0.35">
      <c r="A543" s="22">
        <v>77010000246</v>
      </c>
      <c r="B543" s="22">
        <v>6</v>
      </c>
      <c r="C543" s="23" t="s">
        <v>0</v>
      </c>
      <c r="D543" s="22">
        <v>4.26</v>
      </c>
      <c r="E543" s="39">
        <v>3</v>
      </c>
      <c r="F543">
        <f t="shared" si="24"/>
        <v>12.78</v>
      </c>
      <c r="G543">
        <f t="shared" si="26"/>
        <v>0.05</v>
      </c>
      <c r="I543">
        <f t="shared" si="25"/>
        <v>77010000246</v>
      </c>
    </row>
    <row r="544" spans="1:9" hidden="1" x14ac:dyDescent="0.35">
      <c r="A544" s="22">
        <v>77010000248</v>
      </c>
      <c r="B544" s="22">
        <v>6</v>
      </c>
      <c r="C544" s="23" t="s">
        <v>0</v>
      </c>
      <c r="D544" s="22">
        <v>4.26</v>
      </c>
      <c r="E544" s="39">
        <v>3</v>
      </c>
      <c r="F544">
        <f t="shared" si="24"/>
        <v>12.78</v>
      </c>
      <c r="G544">
        <f t="shared" si="26"/>
        <v>0.05</v>
      </c>
      <c r="I544">
        <f t="shared" si="25"/>
        <v>77010000248</v>
      </c>
    </row>
    <row r="545" spans="1:9" hidden="1" x14ac:dyDescent="0.35">
      <c r="A545" s="22">
        <v>77010000281</v>
      </c>
      <c r="B545" s="22">
        <v>6</v>
      </c>
      <c r="C545" s="23" t="s">
        <v>0</v>
      </c>
      <c r="D545" s="22">
        <v>4.26</v>
      </c>
      <c r="E545" s="39">
        <v>3</v>
      </c>
      <c r="F545">
        <f t="shared" si="24"/>
        <v>12.78</v>
      </c>
      <c r="G545">
        <f t="shared" si="26"/>
        <v>0.05</v>
      </c>
      <c r="I545">
        <f t="shared" si="25"/>
        <v>77010000281</v>
      </c>
    </row>
    <row r="546" spans="1:9" hidden="1" x14ac:dyDescent="0.35">
      <c r="A546" s="22">
        <v>77010000270</v>
      </c>
      <c r="B546" s="22">
        <v>6</v>
      </c>
      <c r="C546" s="23" t="s">
        <v>0</v>
      </c>
      <c r="D546" s="22">
        <v>4.26</v>
      </c>
      <c r="E546" s="39">
        <v>3</v>
      </c>
      <c r="F546">
        <f t="shared" si="24"/>
        <v>12.78</v>
      </c>
      <c r="G546">
        <f t="shared" si="26"/>
        <v>0.05</v>
      </c>
      <c r="I546">
        <f t="shared" si="25"/>
        <v>77010000270</v>
      </c>
    </row>
    <row r="547" spans="1:9" hidden="1" x14ac:dyDescent="0.35">
      <c r="A547" s="22">
        <v>77010000271</v>
      </c>
      <c r="B547" s="22">
        <v>6</v>
      </c>
      <c r="C547" s="23" t="s">
        <v>0</v>
      </c>
      <c r="D547" s="22">
        <v>4.26</v>
      </c>
      <c r="E547" s="39">
        <v>4</v>
      </c>
      <c r="F547">
        <f t="shared" si="24"/>
        <v>17.04</v>
      </c>
      <c r="G547">
        <f t="shared" si="26"/>
        <v>6.6666666666666666E-2</v>
      </c>
      <c r="I547">
        <f t="shared" si="25"/>
        <v>77010000271</v>
      </c>
    </row>
    <row r="548" spans="1:9" hidden="1" x14ac:dyDescent="0.35">
      <c r="A548" s="22">
        <v>77010000294</v>
      </c>
      <c r="B548" s="22">
        <v>6</v>
      </c>
      <c r="C548" s="23" t="s">
        <v>0</v>
      </c>
      <c r="D548" s="22">
        <v>4.26</v>
      </c>
      <c r="E548" s="39">
        <v>4</v>
      </c>
      <c r="F548">
        <f t="shared" si="24"/>
        <v>17.04</v>
      </c>
      <c r="G548">
        <f t="shared" si="26"/>
        <v>6.6666666666666666E-2</v>
      </c>
      <c r="I548">
        <f t="shared" si="25"/>
        <v>77010000294</v>
      </c>
    </row>
    <row r="549" spans="1:9" hidden="1" x14ac:dyDescent="0.35">
      <c r="A549" s="22">
        <v>77010000290</v>
      </c>
      <c r="B549" s="22">
        <v>6</v>
      </c>
      <c r="C549" s="23" t="s">
        <v>0</v>
      </c>
      <c r="D549" s="22">
        <v>4.26</v>
      </c>
      <c r="E549" s="39">
        <v>4</v>
      </c>
      <c r="F549">
        <f t="shared" si="24"/>
        <v>17.04</v>
      </c>
      <c r="G549">
        <f t="shared" si="26"/>
        <v>6.6666666666666666E-2</v>
      </c>
      <c r="I549">
        <f t="shared" si="25"/>
        <v>77010000290</v>
      </c>
    </row>
    <row r="550" spans="1:9" hidden="1" x14ac:dyDescent="0.35">
      <c r="A550" s="22">
        <v>77010000258</v>
      </c>
      <c r="B550" s="22">
        <v>6</v>
      </c>
      <c r="C550" s="23" t="s">
        <v>0</v>
      </c>
      <c r="D550" s="22">
        <v>0</v>
      </c>
      <c r="E550" s="39">
        <v>4</v>
      </c>
      <c r="F550">
        <f t="shared" si="24"/>
        <v>0</v>
      </c>
      <c r="G550">
        <f t="shared" si="26"/>
        <v>6.6666666666666666E-2</v>
      </c>
      <c r="I550">
        <f t="shared" si="25"/>
        <v>77010000258</v>
      </c>
    </row>
    <row r="551" spans="1:9" hidden="1" x14ac:dyDescent="0.35">
      <c r="A551" s="22">
        <v>77010000288</v>
      </c>
      <c r="B551" s="22">
        <v>6</v>
      </c>
      <c r="C551" s="23" t="s">
        <v>0</v>
      </c>
      <c r="D551" s="22">
        <v>4.26</v>
      </c>
      <c r="E551" s="39">
        <v>4</v>
      </c>
      <c r="F551">
        <f t="shared" si="24"/>
        <v>17.04</v>
      </c>
      <c r="G551">
        <f t="shared" si="26"/>
        <v>6.6666666666666666E-2</v>
      </c>
      <c r="I551">
        <f t="shared" si="25"/>
        <v>77010000288</v>
      </c>
    </row>
    <row r="552" spans="1:9" hidden="1" x14ac:dyDescent="0.35">
      <c r="A552" s="22">
        <v>77010000270</v>
      </c>
      <c r="B552" s="22">
        <v>6</v>
      </c>
      <c r="C552" s="23" t="s">
        <v>0</v>
      </c>
      <c r="D552" s="22">
        <v>4.26</v>
      </c>
      <c r="E552" s="39">
        <v>5</v>
      </c>
      <c r="F552">
        <f t="shared" si="24"/>
        <v>21.299999999999997</v>
      </c>
      <c r="G552">
        <f t="shared" si="26"/>
        <v>8.3333333333333329E-2</v>
      </c>
      <c r="I552">
        <f t="shared" si="25"/>
        <v>77010000270</v>
      </c>
    </row>
    <row r="553" spans="1:9" hidden="1" x14ac:dyDescent="0.35">
      <c r="A553" s="22">
        <v>77010000285</v>
      </c>
      <c r="B553" s="22">
        <v>6</v>
      </c>
      <c r="C553" s="23" t="s">
        <v>0</v>
      </c>
      <c r="D553" s="22">
        <v>4.26</v>
      </c>
      <c r="E553" s="39">
        <v>5</v>
      </c>
      <c r="F553">
        <f t="shared" si="24"/>
        <v>21.299999999999997</v>
      </c>
      <c r="G553">
        <f t="shared" si="26"/>
        <v>8.3333333333333329E-2</v>
      </c>
      <c r="I553">
        <f t="shared" si="25"/>
        <v>77010000285</v>
      </c>
    </row>
    <row r="554" spans="1:9" hidden="1" x14ac:dyDescent="0.35">
      <c r="A554" s="22">
        <v>77010000295</v>
      </c>
      <c r="B554" s="22">
        <v>6</v>
      </c>
      <c r="C554" s="23" t="s">
        <v>0</v>
      </c>
      <c r="D554" s="22">
        <v>4.26</v>
      </c>
      <c r="E554" s="39">
        <v>5</v>
      </c>
      <c r="F554">
        <f t="shared" si="24"/>
        <v>21.299999999999997</v>
      </c>
      <c r="G554">
        <f t="shared" si="26"/>
        <v>8.3333333333333329E-2</v>
      </c>
      <c r="I554">
        <f t="shared" si="25"/>
        <v>77010000295</v>
      </c>
    </row>
    <row r="555" spans="1:9" hidden="1" x14ac:dyDescent="0.35">
      <c r="A555" s="22">
        <v>77010000312</v>
      </c>
      <c r="B555" s="22">
        <v>6</v>
      </c>
      <c r="C555" s="23" t="s">
        <v>0</v>
      </c>
      <c r="D555" s="22">
        <v>4.26</v>
      </c>
      <c r="E555" s="39">
        <v>5</v>
      </c>
      <c r="F555">
        <f t="shared" si="24"/>
        <v>21.299999999999997</v>
      </c>
      <c r="G555">
        <f t="shared" si="26"/>
        <v>8.3333333333333329E-2</v>
      </c>
      <c r="I555">
        <f t="shared" si="25"/>
        <v>77010000312</v>
      </c>
    </row>
    <row r="556" spans="1:9" hidden="1" x14ac:dyDescent="0.35">
      <c r="A556" s="22">
        <v>77010000248</v>
      </c>
      <c r="B556" s="22">
        <v>6</v>
      </c>
      <c r="C556" s="23" t="s">
        <v>0</v>
      </c>
      <c r="D556" s="22">
        <v>4.26</v>
      </c>
      <c r="E556" s="39">
        <v>5</v>
      </c>
      <c r="F556">
        <f t="shared" si="24"/>
        <v>21.299999999999997</v>
      </c>
      <c r="G556">
        <f t="shared" si="26"/>
        <v>8.3333333333333329E-2</v>
      </c>
      <c r="I556">
        <f t="shared" si="25"/>
        <v>77010000248</v>
      </c>
    </row>
    <row r="557" spans="1:9" hidden="1" x14ac:dyDescent="0.35">
      <c r="A557" s="22">
        <v>77010000241</v>
      </c>
      <c r="B557" s="22">
        <v>6</v>
      </c>
      <c r="C557" s="23" t="s">
        <v>0</v>
      </c>
      <c r="D557" s="22">
        <v>4.26</v>
      </c>
      <c r="E557" s="39">
        <v>6</v>
      </c>
      <c r="F557">
        <f t="shared" si="24"/>
        <v>25.56</v>
      </c>
      <c r="G557">
        <f t="shared" si="26"/>
        <v>0.1</v>
      </c>
      <c r="I557">
        <f t="shared" si="25"/>
        <v>77010000241</v>
      </c>
    </row>
    <row r="558" spans="1:9" hidden="1" x14ac:dyDescent="0.35">
      <c r="A558" s="22">
        <v>77010000242</v>
      </c>
      <c r="B558" s="22">
        <v>6</v>
      </c>
      <c r="C558" s="23" t="s">
        <v>0</v>
      </c>
      <c r="D558" s="22">
        <v>4.26</v>
      </c>
      <c r="E558" s="39">
        <v>6</v>
      </c>
      <c r="F558">
        <f t="shared" si="24"/>
        <v>25.56</v>
      </c>
      <c r="G558">
        <f t="shared" si="26"/>
        <v>0.1</v>
      </c>
      <c r="I558">
        <f t="shared" si="25"/>
        <v>77010000242</v>
      </c>
    </row>
    <row r="559" spans="1:9" hidden="1" x14ac:dyDescent="0.35">
      <c r="A559" s="22">
        <v>77010000249</v>
      </c>
      <c r="B559" s="22">
        <v>6</v>
      </c>
      <c r="C559" s="23" t="s">
        <v>0</v>
      </c>
      <c r="D559" s="22">
        <v>4.26</v>
      </c>
      <c r="E559" s="39">
        <v>6</v>
      </c>
      <c r="F559">
        <f t="shared" si="24"/>
        <v>25.56</v>
      </c>
      <c r="G559">
        <f t="shared" si="26"/>
        <v>0.1</v>
      </c>
      <c r="I559">
        <f t="shared" si="25"/>
        <v>77010000249</v>
      </c>
    </row>
    <row r="560" spans="1:9" hidden="1" x14ac:dyDescent="0.35">
      <c r="A560" s="22">
        <v>77010000257</v>
      </c>
      <c r="B560" s="22">
        <v>6</v>
      </c>
      <c r="C560" s="23" t="s">
        <v>0</v>
      </c>
      <c r="D560" s="22">
        <v>4.26</v>
      </c>
      <c r="E560" s="39">
        <v>6</v>
      </c>
      <c r="F560">
        <f t="shared" si="24"/>
        <v>25.56</v>
      </c>
      <c r="G560">
        <f t="shared" si="26"/>
        <v>0.1</v>
      </c>
      <c r="I560">
        <f t="shared" si="25"/>
        <v>77010000257</v>
      </c>
    </row>
    <row r="561" spans="1:9" hidden="1" x14ac:dyDescent="0.35">
      <c r="A561" s="22">
        <v>77010000289</v>
      </c>
      <c r="B561" s="22">
        <v>6</v>
      </c>
      <c r="C561" s="23" t="s">
        <v>0</v>
      </c>
      <c r="D561" s="22">
        <v>4.26</v>
      </c>
      <c r="E561" s="39">
        <v>6</v>
      </c>
      <c r="F561">
        <f t="shared" si="24"/>
        <v>25.56</v>
      </c>
      <c r="G561">
        <f t="shared" si="26"/>
        <v>0.1</v>
      </c>
      <c r="I561">
        <f t="shared" si="25"/>
        <v>77010000289</v>
      </c>
    </row>
    <row r="562" spans="1:9" hidden="1" x14ac:dyDescent="0.35">
      <c r="A562" s="22">
        <v>77010000290</v>
      </c>
      <c r="B562" s="22">
        <v>6</v>
      </c>
      <c r="C562" s="23" t="s">
        <v>0</v>
      </c>
      <c r="D562" s="22">
        <v>4.26</v>
      </c>
      <c r="E562" s="39">
        <v>6</v>
      </c>
      <c r="F562">
        <f t="shared" si="24"/>
        <v>25.56</v>
      </c>
      <c r="G562">
        <f t="shared" si="26"/>
        <v>0.1</v>
      </c>
      <c r="I562">
        <f t="shared" si="25"/>
        <v>77010000290</v>
      </c>
    </row>
    <row r="563" spans="1:9" hidden="1" x14ac:dyDescent="0.35">
      <c r="A563" s="22">
        <v>77010000250</v>
      </c>
      <c r="B563" s="22">
        <v>6</v>
      </c>
      <c r="C563" s="23" t="s">
        <v>0</v>
      </c>
      <c r="D563" s="22">
        <v>4.26</v>
      </c>
      <c r="E563" s="39">
        <v>7</v>
      </c>
      <c r="F563">
        <f t="shared" si="24"/>
        <v>29.82</v>
      </c>
      <c r="G563">
        <f t="shared" si="26"/>
        <v>0.11666666666666667</v>
      </c>
      <c r="I563">
        <f t="shared" si="25"/>
        <v>77010000250</v>
      </c>
    </row>
    <row r="564" spans="1:9" hidden="1" x14ac:dyDescent="0.35">
      <c r="A564" s="22">
        <v>77010000292</v>
      </c>
      <c r="B564" s="22">
        <v>6</v>
      </c>
      <c r="C564" s="23" t="s">
        <v>0</v>
      </c>
      <c r="D564" s="22">
        <v>4.26</v>
      </c>
      <c r="E564" s="39">
        <v>7</v>
      </c>
      <c r="F564">
        <f t="shared" si="24"/>
        <v>29.82</v>
      </c>
      <c r="G564">
        <f t="shared" si="26"/>
        <v>0.11666666666666667</v>
      </c>
      <c r="I564">
        <f t="shared" si="25"/>
        <v>77010000292</v>
      </c>
    </row>
    <row r="565" spans="1:9" hidden="1" x14ac:dyDescent="0.35">
      <c r="A565" s="22">
        <v>77010000243</v>
      </c>
      <c r="B565" s="22">
        <v>6</v>
      </c>
      <c r="C565" s="23" t="s">
        <v>0</v>
      </c>
      <c r="D565" s="22">
        <v>4.26</v>
      </c>
      <c r="E565" s="39">
        <v>7</v>
      </c>
      <c r="F565">
        <f t="shared" si="24"/>
        <v>29.82</v>
      </c>
      <c r="G565">
        <f t="shared" si="26"/>
        <v>0.11666666666666667</v>
      </c>
      <c r="I565">
        <f t="shared" si="25"/>
        <v>77010000243</v>
      </c>
    </row>
    <row r="566" spans="1:9" hidden="1" x14ac:dyDescent="0.35">
      <c r="A566" s="22">
        <v>77010000254</v>
      </c>
      <c r="B566" s="22">
        <v>6</v>
      </c>
      <c r="C566" s="23" t="s">
        <v>0</v>
      </c>
      <c r="D566" s="22">
        <v>4.26</v>
      </c>
      <c r="E566" s="39">
        <v>7</v>
      </c>
      <c r="F566">
        <f t="shared" si="24"/>
        <v>29.82</v>
      </c>
      <c r="G566">
        <f t="shared" si="26"/>
        <v>0.11666666666666667</v>
      </c>
      <c r="I566">
        <f t="shared" si="25"/>
        <v>77010000254</v>
      </c>
    </row>
    <row r="567" spans="1:9" hidden="1" x14ac:dyDescent="0.35">
      <c r="A567" s="22">
        <v>77010000258</v>
      </c>
      <c r="B567" s="22">
        <v>6</v>
      </c>
      <c r="C567" s="23" t="s">
        <v>0</v>
      </c>
      <c r="D567" s="22">
        <v>4.26</v>
      </c>
      <c r="E567" s="39">
        <v>7</v>
      </c>
      <c r="F567">
        <f t="shared" si="24"/>
        <v>29.82</v>
      </c>
      <c r="G567">
        <f t="shared" si="26"/>
        <v>0.11666666666666667</v>
      </c>
      <c r="I567">
        <f t="shared" si="25"/>
        <v>77010000258</v>
      </c>
    </row>
    <row r="568" spans="1:9" hidden="1" x14ac:dyDescent="0.35">
      <c r="A568" s="22">
        <v>77010000293</v>
      </c>
      <c r="B568" s="22">
        <v>6</v>
      </c>
      <c r="C568" s="23" t="s">
        <v>0</v>
      </c>
      <c r="D568" s="22">
        <v>4.26</v>
      </c>
      <c r="E568" s="39">
        <v>7</v>
      </c>
      <c r="F568">
        <f t="shared" si="24"/>
        <v>29.82</v>
      </c>
      <c r="G568">
        <f t="shared" si="26"/>
        <v>0.11666666666666667</v>
      </c>
      <c r="I568">
        <f t="shared" si="25"/>
        <v>77010000293</v>
      </c>
    </row>
    <row r="569" spans="1:9" hidden="1" x14ac:dyDescent="0.35">
      <c r="A569" s="22">
        <v>77010000260</v>
      </c>
      <c r="B569" s="22">
        <v>6</v>
      </c>
      <c r="C569" s="23" t="s">
        <v>0</v>
      </c>
      <c r="D569" s="22">
        <v>4.26</v>
      </c>
      <c r="E569" s="39">
        <v>8</v>
      </c>
      <c r="F569">
        <f t="shared" si="24"/>
        <v>34.08</v>
      </c>
      <c r="G569">
        <f t="shared" si="26"/>
        <v>0.13333333333333333</v>
      </c>
      <c r="I569">
        <f t="shared" si="25"/>
        <v>77010000260</v>
      </c>
    </row>
    <row r="570" spans="1:9" hidden="1" x14ac:dyDescent="0.35">
      <c r="A570" s="22">
        <v>77010000261</v>
      </c>
      <c r="B570" s="22">
        <v>6</v>
      </c>
      <c r="C570" s="23" t="s">
        <v>0</v>
      </c>
      <c r="D570" s="22">
        <v>4.26</v>
      </c>
      <c r="E570" s="39">
        <v>8</v>
      </c>
      <c r="F570">
        <f t="shared" si="24"/>
        <v>34.08</v>
      </c>
      <c r="G570">
        <f t="shared" si="26"/>
        <v>0.13333333333333333</v>
      </c>
      <c r="I570">
        <f t="shared" si="25"/>
        <v>77010000261</v>
      </c>
    </row>
    <row r="571" spans="1:9" hidden="1" x14ac:dyDescent="0.35">
      <c r="A571" s="22">
        <v>77010000282</v>
      </c>
      <c r="B571" s="22">
        <v>6</v>
      </c>
      <c r="C571" s="23" t="s">
        <v>0</v>
      </c>
      <c r="D571" s="22">
        <v>4.26</v>
      </c>
      <c r="E571" s="39">
        <v>8</v>
      </c>
      <c r="F571">
        <f t="shared" si="24"/>
        <v>34.08</v>
      </c>
      <c r="G571">
        <f t="shared" si="26"/>
        <v>0.13333333333333333</v>
      </c>
      <c r="I571">
        <f t="shared" si="25"/>
        <v>77010000282</v>
      </c>
    </row>
    <row r="572" spans="1:9" hidden="1" x14ac:dyDescent="0.35">
      <c r="A572" s="22">
        <v>77010000255</v>
      </c>
      <c r="B572" s="22">
        <v>6</v>
      </c>
      <c r="C572" s="23" t="s">
        <v>0</v>
      </c>
      <c r="D572" s="22">
        <v>4.26</v>
      </c>
      <c r="E572" s="39">
        <v>8</v>
      </c>
      <c r="F572">
        <f t="shared" si="24"/>
        <v>34.08</v>
      </c>
      <c r="G572">
        <f t="shared" si="26"/>
        <v>0.13333333333333333</v>
      </c>
      <c r="I572">
        <f t="shared" si="25"/>
        <v>77010000255</v>
      </c>
    </row>
    <row r="573" spans="1:9" hidden="1" x14ac:dyDescent="0.35">
      <c r="A573" s="22">
        <v>77010000307</v>
      </c>
      <c r="B573" s="22">
        <v>6</v>
      </c>
      <c r="C573" s="23" t="s">
        <v>0</v>
      </c>
      <c r="D573" s="22">
        <v>4.26</v>
      </c>
      <c r="E573" s="39">
        <v>8</v>
      </c>
      <c r="F573">
        <f t="shared" si="24"/>
        <v>34.08</v>
      </c>
      <c r="G573">
        <f t="shared" si="26"/>
        <v>0.13333333333333333</v>
      </c>
      <c r="I573">
        <f t="shared" si="25"/>
        <v>77010000307</v>
      </c>
    </row>
    <row r="574" spans="1:9" hidden="1" x14ac:dyDescent="0.35">
      <c r="A574" s="22">
        <v>77010000274</v>
      </c>
      <c r="B574" s="22">
        <v>6</v>
      </c>
      <c r="C574" s="23" t="s">
        <v>0</v>
      </c>
      <c r="D574" s="22">
        <v>4.26</v>
      </c>
      <c r="E574" s="39">
        <v>9</v>
      </c>
      <c r="F574">
        <f t="shared" si="24"/>
        <v>38.339999999999996</v>
      </c>
      <c r="G574">
        <f t="shared" si="26"/>
        <v>0.15</v>
      </c>
      <c r="I574">
        <f t="shared" si="25"/>
        <v>77010000274</v>
      </c>
    </row>
    <row r="575" spans="1:9" hidden="1" x14ac:dyDescent="0.35">
      <c r="A575" s="22">
        <v>77010000287</v>
      </c>
      <c r="B575" s="22">
        <v>6</v>
      </c>
      <c r="C575" s="23" t="s">
        <v>0</v>
      </c>
      <c r="D575" s="22">
        <v>4.26</v>
      </c>
      <c r="E575" s="39">
        <v>9</v>
      </c>
      <c r="F575">
        <f t="shared" si="24"/>
        <v>38.339999999999996</v>
      </c>
      <c r="G575">
        <f t="shared" si="26"/>
        <v>0.15</v>
      </c>
      <c r="I575">
        <f t="shared" si="25"/>
        <v>77010000287</v>
      </c>
    </row>
    <row r="576" spans="1:9" hidden="1" x14ac:dyDescent="0.35">
      <c r="A576" s="22">
        <v>77010000306</v>
      </c>
      <c r="B576" s="22">
        <v>6</v>
      </c>
      <c r="C576" s="23" t="s">
        <v>0</v>
      </c>
      <c r="D576" s="22">
        <v>4.26</v>
      </c>
      <c r="E576" s="39">
        <v>9</v>
      </c>
      <c r="F576">
        <f t="shared" si="24"/>
        <v>38.339999999999996</v>
      </c>
      <c r="G576">
        <f t="shared" si="26"/>
        <v>0.15</v>
      </c>
      <c r="I576">
        <f t="shared" si="25"/>
        <v>77010000306</v>
      </c>
    </row>
    <row r="577" spans="1:9" hidden="1" x14ac:dyDescent="0.35">
      <c r="A577" s="22">
        <v>77010000256</v>
      </c>
      <c r="B577" s="22">
        <v>6</v>
      </c>
      <c r="C577" s="23" t="s">
        <v>0</v>
      </c>
      <c r="D577" s="22">
        <v>4.26</v>
      </c>
      <c r="E577" s="39">
        <v>10</v>
      </c>
      <c r="F577">
        <f t="shared" si="24"/>
        <v>42.599999999999994</v>
      </c>
      <c r="G577">
        <f t="shared" si="26"/>
        <v>0.16666666666666666</v>
      </c>
      <c r="I577">
        <f t="shared" si="25"/>
        <v>77010000256</v>
      </c>
    </row>
    <row r="578" spans="1:9" hidden="1" x14ac:dyDescent="0.35">
      <c r="A578" s="22">
        <v>77010000308</v>
      </c>
      <c r="B578" s="22">
        <v>6</v>
      </c>
      <c r="C578" s="23" t="s">
        <v>0</v>
      </c>
      <c r="D578" s="22">
        <v>4.26</v>
      </c>
      <c r="E578" s="39">
        <v>10</v>
      </c>
      <c r="F578">
        <f t="shared" ref="F578:F641" si="27">D578*E578</f>
        <v>42.599999999999994</v>
      </c>
      <c r="G578">
        <f t="shared" si="26"/>
        <v>0.16666666666666666</v>
      </c>
      <c r="I578">
        <f t="shared" ref="I578:I624" si="28">_xlfn.UNIQUE(A578,$A:$A,A578)</f>
        <v>77010000308</v>
      </c>
    </row>
    <row r="579" spans="1:9" hidden="1" x14ac:dyDescent="0.35">
      <c r="A579" s="22">
        <v>77010000275</v>
      </c>
      <c r="B579" s="22">
        <v>6</v>
      </c>
      <c r="C579" s="23" t="s">
        <v>0</v>
      </c>
      <c r="D579" s="22">
        <v>4.26</v>
      </c>
      <c r="E579" s="39">
        <v>10</v>
      </c>
      <c r="F579">
        <f t="shared" si="27"/>
        <v>42.599999999999994</v>
      </c>
      <c r="G579">
        <f t="shared" ref="G579:G624" si="29">E579/60</f>
        <v>0.16666666666666666</v>
      </c>
      <c r="I579">
        <f t="shared" si="28"/>
        <v>77010000275</v>
      </c>
    </row>
    <row r="580" spans="1:9" hidden="1" x14ac:dyDescent="0.35">
      <c r="A580" s="22">
        <v>77010000310</v>
      </c>
      <c r="B580" s="22">
        <v>6</v>
      </c>
      <c r="C580" s="23" t="s">
        <v>0</v>
      </c>
      <c r="D580" s="22">
        <v>4.26</v>
      </c>
      <c r="E580" s="39">
        <v>10</v>
      </c>
      <c r="F580">
        <f t="shared" si="27"/>
        <v>42.599999999999994</v>
      </c>
      <c r="G580">
        <f t="shared" si="29"/>
        <v>0.16666666666666666</v>
      </c>
      <c r="I580">
        <f t="shared" si="28"/>
        <v>77010000310</v>
      </c>
    </row>
    <row r="581" spans="1:9" hidden="1" x14ac:dyDescent="0.35">
      <c r="A581" s="22">
        <v>77010000311</v>
      </c>
      <c r="B581" s="22">
        <v>6</v>
      </c>
      <c r="C581" s="23" t="s">
        <v>0</v>
      </c>
      <c r="D581" s="22">
        <v>4.26</v>
      </c>
      <c r="E581" s="39">
        <v>10</v>
      </c>
      <c r="F581">
        <f t="shared" si="27"/>
        <v>42.599999999999994</v>
      </c>
      <c r="G581">
        <f t="shared" si="29"/>
        <v>0.16666666666666666</v>
      </c>
      <c r="I581">
        <f t="shared" si="28"/>
        <v>77010000311</v>
      </c>
    </row>
    <row r="582" spans="1:9" hidden="1" x14ac:dyDescent="0.35">
      <c r="A582" s="22">
        <v>77010000245</v>
      </c>
      <c r="B582" s="22">
        <v>6</v>
      </c>
      <c r="C582" s="23" t="s">
        <v>0</v>
      </c>
      <c r="D582" s="22">
        <v>4.26</v>
      </c>
      <c r="E582" s="39">
        <v>10</v>
      </c>
      <c r="F582">
        <f t="shared" si="27"/>
        <v>42.599999999999994</v>
      </c>
      <c r="G582">
        <f t="shared" si="29"/>
        <v>0.16666666666666666</v>
      </c>
      <c r="I582">
        <f t="shared" si="28"/>
        <v>77010000245</v>
      </c>
    </row>
    <row r="583" spans="1:9" hidden="1" x14ac:dyDescent="0.35">
      <c r="A583" s="22">
        <v>77010000259</v>
      </c>
      <c r="B583" s="22">
        <v>6</v>
      </c>
      <c r="C583" s="23" t="s">
        <v>0</v>
      </c>
      <c r="D583" s="22">
        <v>4.26</v>
      </c>
      <c r="E583" s="39">
        <v>10</v>
      </c>
      <c r="F583">
        <f t="shared" si="27"/>
        <v>42.599999999999994</v>
      </c>
      <c r="G583">
        <f t="shared" si="29"/>
        <v>0.16666666666666666</v>
      </c>
      <c r="I583">
        <f t="shared" si="28"/>
        <v>77010000259</v>
      </c>
    </row>
    <row r="584" spans="1:9" hidden="1" x14ac:dyDescent="0.35">
      <c r="A584" s="22">
        <v>77010000272</v>
      </c>
      <c r="B584" s="22">
        <v>6</v>
      </c>
      <c r="C584" s="23" t="s">
        <v>0</v>
      </c>
      <c r="D584" s="22">
        <v>4.26</v>
      </c>
      <c r="E584" s="39">
        <v>10</v>
      </c>
      <c r="F584">
        <f t="shared" si="27"/>
        <v>42.599999999999994</v>
      </c>
      <c r="G584">
        <f t="shared" si="29"/>
        <v>0.16666666666666666</v>
      </c>
      <c r="I584">
        <f t="shared" si="28"/>
        <v>77010000272</v>
      </c>
    </row>
    <row r="585" spans="1:9" hidden="1" x14ac:dyDescent="0.35">
      <c r="A585" s="22">
        <v>77010000268</v>
      </c>
      <c r="B585" s="22">
        <v>6</v>
      </c>
      <c r="C585" s="23" t="s">
        <v>0</v>
      </c>
      <c r="D585" s="22">
        <v>8.52</v>
      </c>
      <c r="E585" s="39">
        <v>11</v>
      </c>
      <c r="F585">
        <f t="shared" si="27"/>
        <v>93.72</v>
      </c>
      <c r="G585">
        <f t="shared" si="29"/>
        <v>0.18333333333333332</v>
      </c>
      <c r="I585">
        <f t="shared" si="28"/>
        <v>77010000268</v>
      </c>
    </row>
    <row r="586" spans="1:9" hidden="1" x14ac:dyDescent="0.35">
      <c r="A586" s="22">
        <v>77010000279</v>
      </c>
      <c r="B586" s="22">
        <v>6</v>
      </c>
      <c r="C586" s="23" t="s">
        <v>0</v>
      </c>
      <c r="D586" s="22">
        <v>8.52</v>
      </c>
      <c r="E586" s="39">
        <v>11</v>
      </c>
      <c r="F586">
        <f t="shared" si="27"/>
        <v>93.72</v>
      </c>
      <c r="G586">
        <f t="shared" si="29"/>
        <v>0.18333333333333332</v>
      </c>
      <c r="I586">
        <f t="shared" si="28"/>
        <v>77010000279</v>
      </c>
    </row>
    <row r="587" spans="1:9" hidden="1" x14ac:dyDescent="0.35">
      <c r="A587" s="22">
        <v>77010000309</v>
      </c>
      <c r="B587" s="22">
        <v>6</v>
      </c>
      <c r="C587" s="23" t="s">
        <v>0</v>
      </c>
      <c r="D587" s="22">
        <v>8.52</v>
      </c>
      <c r="E587" s="39">
        <v>11</v>
      </c>
      <c r="F587">
        <f t="shared" si="27"/>
        <v>93.72</v>
      </c>
      <c r="G587">
        <f t="shared" si="29"/>
        <v>0.18333333333333332</v>
      </c>
      <c r="I587">
        <f t="shared" si="28"/>
        <v>77010000309</v>
      </c>
    </row>
    <row r="588" spans="1:9" hidden="1" x14ac:dyDescent="0.35">
      <c r="A588" s="22">
        <v>77010000245</v>
      </c>
      <c r="B588" s="22">
        <v>6</v>
      </c>
      <c r="C588" s="23" t="s">
        <v>0</v>
      </c>
      <c r="D588" s="22">
        <v>8.52</v>
      </c>
      <c r="E588" s="39">
        <v>11</v>
      </c>
      <c r="F588">
        <f t="shared" si="27"/>
        <v>93.72</v>
      </c>
      <c r="G588">
        <f t="shared" si="29"/>
        <v>0.18333333333333332</v>
      </c>
      <c r="I588">
        <f t="shared" si="28"/>
        <v>77010000245</v>
      </c>
    </row>
    <row r="589" spans="1:9" hidden="1" x14ac:dyDescent="0.35">
      <c r="A589" s="22">
        <v>77010000253</v>
      </c>
      <c r="B589" s="22">
        <v>6</v>
      </c>
      <c r="C589" s="23" t="s">
        <v>1</v>
      </c>
      <c r="D589" s="22">
        <v>14.87</v>
      </c>
      <c r="E589" s="39">
        <v>12</v>
      </c>
      <c r="F589">
        <f t="shared" si="27"/>
        <v>178.44</v>
      </c>
      <c r="G589">
        <f t="shared" si="29"/>
        <v>0.2</v>
      </c>
      <c r="I589">
        <f t="shared" si="28"/>
        <v>77010000253</v>
      </c>
    </row>
    <row r="590" spans="1:9" hidden="1" x14ac:dyDescent="0.35">
      <c r="A590" s="22">
        <v>77010000259</v>
      </c>
      <c r="B590" s="22">
        <v>6</v>
      </c>
      <c r="C590" s="23" t="s">
        <v>0</v>
      </c>
      <c r="D590" s="22">
        <v>8.52</v>
      </c>
      <c r="E590" s="39">
        <v>12</v>
      </c>
      <c r="F590">
        <f t="shared" si="27"/>
        <v>102.24</v>
      </c>
      <c r="G590">
        <f t="shared" si="29"/>
        <v>0.2</v>
      </c>
      <c r="I590">
        <f t="shared" si="28"/>
        <v>77010000259</v>
      </c>
    </row>
    <row r="591" spans="1:9" hidden="1" x14ac:dyDescent="0.35">
      <c r="A591" s="22">
        <v>77010000275</v>
      </c>
      <c r="B591" s="22">
        <v>6</v>
      </c>
      <c r="C591" s="23" t="s">
        <v>0</v>
      </c>
      <c r="D591" s="22">
        <v>8.52</v>
      </c>
      <c r="E591" s="39">
        <v>12</v>
      </c>
      <c r="F591">
        <f t="shared" si="27"/>
        <v>102.24</v>
      </c>
      <c r="G591">
        <f t="shared" si="29"/>
        <v>0.2</v>
      </c>
      <c r="I591">
        <f t="shared" si="28"/>
        <v>77010000275</v>
      </c>
    </row>
    <row r="592" spans="1:9" hidden="1" x14ac:dyDescent="0.35">
      <c r="A592" s="22">
        <v>77010000276</v>
      </c>
      <c r="B592" s="22">
        <v>6</v>
      </c>
      <c r="C592" s="23" t="s">
        <v>0</v>
      </c>
      <c r="D592" s="22">
        <v>8.52</v>
      </c>
      <c r="E592" s="39">
        <v>12</v>
      </c>
      <c r="F592">
        <f t="shared" si="27"/>
        <v>102.24</v>
      </c>
      <c r="G592">
        <f t="shared" si="29"/>
        <v>0.2</v>
      </c>
      <c r="I592">
        <f t="shared" si="28"/>
        <v>77010000276</v>
      </c>
    </row>
    <row r="593" spans="1:9" hidden="1" x14ac:dyDescent="0.35">
      <c r="A593" s="22">
        <v>77010000280</v>
      </c>
      <c r="B593" s="22">
        <v>6</v>
      </c>
      <c r="C593" s="23" t="s">
        <v>0</v>
      </c>
      <c r="D593" s="22">
        <v>8.52</v>
      </c>
      <c r="E593" s="39">
        <v>12</v>
      </c>
      <c r="F593">
        <f t="shared" si="27"/>
        <v>102.24</v>
      </c>
      <c r="G593">
        <f t="shared" si="29"/>
        <v>0.2</v>
      </c>
      <c r="I593">
        <f t="shared" si="28"/>
        <v>77010000280</v>
      </c>
    </row>
    <row r="594" spans="1:9" hidden="1" x14ac:dyDescent="0.35">
      <c r="A594" s="22">
        <v>77010000296</v>
      </c>
      <c r="B594" s="22">
        <v>6</v>
      </c>
      <c r="C594" s="23" t="s">
        <v>0</v>
      </c>
      <c r="D594" s="22">
        <v>8.52</v>
      </c>
      <c r="E594" s="39">
        <v>12</v>
      </c>
      <c r="F594">
        <f t="shared" si="27"/>
        <v>102.24</v>
      </c>
      <c r="G594">
        <f t="shared" si="29"/>
        <v>0.2</v>
      </c>
      <c r="I594">
        <f t="shared" si="28"/>
        <v>77010000296</v>
      </c>
    </row>
    <row r="595" spans="1:9" hidden="1" x14ac:dyDescent="0.35">
      <c r="A595" s="22">
        <v>77010000311</v>
      </c>
      <c r="B595" s="22">
        <v>6</v>
      </c>
      <c r="C595" s="23" t="s">
        <v>0</v>
      </c>
      <c r="D595" s="22">
        <v>8.52</v>
      </c>
      <c r="E595" s="39">
        <v>12</v>
      </c>
      <c r="F595">
        <f t="shared" si="27"/>
        <v>102.24</v>
      </c>
      <c r="G595">
        <f t="shared" si="29"/>
        <v>0.2</v>
      </c>
      <c r="I595">
        <f t="shared" si="28"/>
        <v>77010000311</v>
      </c>
    </row>
    <row r="596" spans="1:9" hidden="1" x14ac:dyDescent="0.35">
      <c r="A596" s="22">
        <v>77010000291</v>
      </c>
      <c r="B596" s="22">
        <v>6</v>
      </c>
      <c r="C596" s="23" t="s">
        <v>0</v>
      </c>
      <c r="D596" s="22">
        <v>8.52</v>
      </c>
      <c r="E596" s="39">
        <v>12</v>
      </c>
      <c r="F596">
        <f t="shared" si="27"/>
        <v>102.24</v>
      </c>
      <c r="G596">
        <f t="shared" si="29"/>
        <v>0.2</v>
      </c>
      <c r="I596">
        <f t="shared" si="28"/>
        <v>77010000291</v>
      </c>
    </row>
    <row r="597" spans="1:9" hidden="1" x14ac:dyDescent="0.35">
      <c r="A597" s="22">
        <v>77010000308</v>
      </c>
      <c r="B597" s="22">
        <v>6</v>
      </c>
      <c r="C597" s="23" t="s">
        <v>0</v>
      </c>
      <c r="D597" s="22">
        <v>8.52</v>
      </c>
      <c r="E597" s="39">
        <v>12</v>
      </c>
      <c r="F597">
        <f t="shared" si="27"/>
        <v>102.24</v>
      </c>
      <c r="G597">
        <f t="shared" si="29"/>
        <v>0.2</v>
      </c>
      <c r="I597">
        <f t="shared" si="28"/>
        <v>77010000308</v>
      </c>
    </row>
    <row r="598" spans="1:9" hidden="1" x14ac:dyDescent="0.35">
      <c r="A598" s="22">
        <v>77010000272</v>
      </c>
      <c r="B598" s="22">
        <v>6</v>
      </c>
      <c r="C598" s="23" t="s">
        <v>0</v>
      </c>
      <c r="D598" s="22">
        <v>8.52</v>
      </c>
      <c r="E598" s="39">
        <v>13</v>
      </c>
      <c r="F598">
        <f t="shared" si="27"/>
        <v>110.75999999999999</v>
      </c>
      <c r="G598">
        <f t="shared" si="29"/>
        <v>0.21666666666666667</v>
      </c>
      <c r="I598">
        <f t="shared" si="28"/>
        <v>77010000272</v>
      </c>
    </row>
    <row r="599" spans="1:9" hidden="1" x14ac:dyDescent="0.35">
      <c r="A599" s="22">
        <v>77010000278</v>
      </c>
      <c r="B599" s="22">
        <v>6</v>
      </c>
      <c r="C599" s="23" t="s">
        <v>0</v>
      </c>
      <c r="D599" s="22">
        <v>8.52</v>
      </c>
      <c r="E599" s="39">
        <v>13</v>
      </c>
      <c r="F599">
        <f t="shared" si="27"/>
        <v>110.75999999999999</v>
      </c>
      <c r="G599">
        <f t="shared" si="29"/>
        <v>0.21666666666666667</v>
      </c>
      <c r="I599">
        <f t="shared" si="28"/>
        <v>77010000278</v>
      </c>
    </row>
    <row r="600" spans="1:9" hidden="1" x14ac:dyDescent="0.35">
      <c r="A600" s="22">
        <v>77010000256</v>
      </c>
      <c r="B600" s="22">
        <v>6</v>
      </c>
      <c r="C600" s="23" t="s">
        <v>0</v>
      </c>
      <c r="D600" s="22">
        <v>8.52</v>
      </c>
      <c r="E600" s="39">
        <v>13</v>
      </c>
      <c r="F600">
        <f t="shared" si="27"/>
        <v>110.75999999999999</v>
      </c>
      <c r="G600">
        <f t="shared" si="29"/>
        <v>0.21666666666666667</v>
      </c>
      <c r="I600">
        <f t="shared" si="28"/>
        <v>77010000256</v>
      </c>
    </row>
    <row r="601" spans="1:9" hidden="1" x14ac:dyDescent="0.35">
      <c r="A601" s="22">
        <v>77010000292</v>
      </c>
      <c r="B601" s="22">
        <v>6</v>
      </c>
      <c r="C601" s="23" t="s">
        <v>0</v>
      </c>
      <c r="D601" s="22">
        <v>8.52</v>
      </c>
      <c r="E601" s="39">
        <v>13</v>
      </c>
      <c r="F601">
        <f t="shared" si="27"/>
        <v>110.75999999999999</v>
      </c>
      <c r="G601">
        <f t="shared" si="29"/>
        <v>0.21666666666666667</v>
      </c>
      <c r="I601">
        <f t="shared" si="28"/>
        <v>77010000292</v>
      </c>
    </row>
    <row r="602" spans="1:9" hidden="1" x14ac:dyDescent="0.35">
      <c r="A602" s="22">
        <v>77010000249</v>
      </c>
      <c r="B602" s="22">
        <v>6</v>
      </c>
      <c r="C602" s="23" t="s">
        <v>3</v>
      </c>
      <c r="D602" s="22">
        <v>24.5</v>
      </c>
      <c r="E602" s="39">
        <v>13</v>
      </c>
      <c r="F602">
        <f t="shared" si="27"/>
        <v>318.5</v>
      </c>
      <c r="G602">
        <f t="shared" si="29"/>
        <v>0.21666666666666667</v>
      </c>
      <c r="I602">
        <f t="shared" si="28"/>
        <v>77010000249</v>
      </c>
    </row>
    <row r="603" spans="1:9" hidden="1" x14ac:dyDescent="0.35">
      <c r="A603" s="22">
        <v>77010000254</v>
      </c>
      <c r="B603" s="22">
        <v>6</v>
      </c>
      <c r="C603" s="23" t="s">
        <v>0</v>
      </c>
      <c r="D603" s="22">
        <v>8.52</v>
      </c>
      <c r="E603" s="39">
        <v>14</v>
      </c>
      <c r="F603">
        <f t="shared" si="27"/>
        <v>119.28</v>
      </c>
      <c r="G603">
        <f t="shared" si="29"/>
        <v>0.23333333333333334</v>
      </c>
      <c r="I603">
        <f t="shared" si="28"/>
        <v>77010000254</v>
      </c>
    </row>
    <row r="604" spans="1:9" hidden="1" x14ac:dyDescent="0.35">
      <c r="A604" s="22">
        <v>77010000277</v>
      </c>
      <c r="B604" s="22">
        <v>6</v>
      </c>
      <c r="C604" s="23" t="s">
        <v>0</v>
      </c>
      <c r="D604" s="22">
        <v>8.52</v>
      </c>
      <c r="E604" s="39">
        <v>14</v>
      </c>
      <c r="F604">
        <f t="shared" si="27"/>
        <v>119.28</v>
      </c>
      <c r="G604">
        <f t="shared" si="29"/>
        <v>0.23333333333333334</v>
      </c>
      <c r="I604">
        <f t="shared" si="28"/>
        <v>77010000277</v>
      </c>
    </row>
    <row r="605" spans="1:9" hidden="1" x14ac:dyDescent="0.35">
      <c r="A605" s="22">
        <v>77010000286</v>
      </c>
      <c r="B605" s="22">
        <v>6</v>
      </c>
      <c r="C605" s="23" t="s">
        <v>0</v>
      </c>
      <c r="D605" s="22">
        <v>8.52</v>
      </c>
      <c r="E605" s="39">
        <v>14</v>
      </c>
      <c r="F605">
        <f t="shared" si="27"/>
        <v>119.28</v>
      </c>
      <c r="G605">
        <f t="shared" si="29"/>
        <v>0.23333333333333334</v>
      </c>
      <c r="I605">
        <f t="shared" si="28"/>
        <v>77010000286</v>
      </c>
    </row>
    <row r="606" spans="1:9" hidden="1" x14ac:dyDescent="0.35">
      <c r="A606" s="22">
        <v>77010000257</v>
      </c>
      <c r="B606" s="22">
        <v>6</v>
      </c>
      <c r="C606" s="23" t="s">
        <v>0</v>
      </c>
      <c r="D606" s="22">
        <v>8.52</v>
      </c>
      <c r="E606" s="39">
        <v>14</v>
      </c>
      <c r="F606">
        <f t="shared" si="27"/>
        <v>119.28</v>
      </c>
      <c r="G606">
        <f t="shared" si="29"/>
        <v>0.23333333333333334</v>
      </c>
      <c r="I606">
        <f t="shared" si="28"/>
        <v>77010000257</v>
      </c>
    </row>
    <row r="607" spans="1:9" hidden="1" x14ac:dyDescent="0.35">
      <c r="A607" s="22">
        <v>77010000280</v>
      </c>
      <c r="B607" s="22">
        <v>6</v>
      </c>
      <c r="C607" s="23" t="s">
        <v>0</v>
      </c>
      <c r="D607" s="22">
        <v>8.52</v>
      </c>
      <c r="E607" s="39">
        <v>14</v>
      </c>
      <c r="F607">
        <f t="shared" si="27"/>
        <v>119.28</v>
      </c>
      <c r="G607">
        <f t="shared" si="29"/>
        <v>0.23333333333333334</v>
      </c>
      <c r="I607">
        <f t="shared" si="28"/>
        <v>77010000280</v>
      </c>
    </row>
    <row r="608" spans="1:9" hidden="1" x14ac:dyDescent="0.35">
      <c r="A608" s="22">
        <v>77010000255</v>
      </c>
      <c r="B608" s="22">
        <v>6</v>
      </c>
      <c r="C608" s="23" t="s">
        <v>0</v>
      </c>
      <c r="D608" s="22">
        <v>8.52</v>
      </c>
      <c r="E608" s="39">
        <v>15</v>
      </c>
      <c r="F608">
        <f t="shared" si="27"/>
        <v>127.8</v>
      </c>
      <c r="G608">
        <f t="shared" si="29"/>
        <v>0.25</v>
      </c>
      <c r="I608">
        <f t="shared" si="28"/>
        <v>77010000255</v>
      </c>
    </row>
    <row r="609" spans="1:9" hidden="1" x14ac:dyDescent="0.35">
      <c r="A609" s="22">
        <v>77010000284</v>
      </c>
      <c r="B609" s="22">
        <v>6</v>
      </c>
      <c r="C609" s="23" t="s">
        <v>0</v>
      </c>
      <c r="D609" s="22">
        <v>8.52</v>
      </c>
      <c r="E609" s="39">
        <v>15</v>
      </c>
      <c r="F609">
        <f t="shared" si="27"/>
        <v>127.8</v>
      </c>
      <c r="G609">
        <f t="shared" si="29"/>
        <v>0.25</v>
      </c>
      <c r="I609">
        <f t="shared" si="28"/>
        <v>77010000284</v>
      </c>
    </row>
    <row r="610" spans="1:9" hidden="1" x14ac:dyDescent="0.35">
      <c r="A610" s="22">
        <v>77010000297</v>
      </c>
      <c r="B610" s="22">
        <v>6</v>
      </c>
      <c r="C610" s="23" t="s">
        <v>0</v>
      </c>
      <c r="D610" s="22">
        <v>8.52</v>
      </c>
      <c r="E610" s="39">
        <v>15</v>
      </c>
      <c r="F610">
        <f t="shared" si="27"/>
        <v>127.8</v>
      </c>
      <c r="G610">
        <f t="shared" si="29"/>
        <v>0.25</v>
      </c>
      <c r="I610">
        <f t="shared" si="28"/>
        <v>77010000297</v>
      </c>
    </row>
    <row r="611" spans="1:9" hidden="1" x14ac:dyDescent="0.35">
      <c r="A611" s="22">
        <v>77010000313</v>
      </c>
      <c r="B611" s="22">
        <v>6</v>
      </c>
      <c r="C611" s="23" t="s">
        <v>0</v>
      </c>
      <c r="D611" s="22">
        <v>8.52</v>
      </c>
      <c r="E611" s="39">
        <v>16</v>
      </c>
      <c r="F611">
        <f t="shared" si="27"/>
        <v>136.32</v>
      </c>
      <c r="G611">
        <f t="shared" si="29"/>
        <v>0.26666666666666666</v>
      </c>
      <c r="I611">
        <f t="shared" si="28"/>
        <v>77010000313</v>
      </c>
    </row>
    <row r="612" spans="1:9" hidden="1" x14ac:dyDescent="0.35">
      <c r="A612" s="22">
        <v>77010000274</v>
      </c>
      <c r="B612" s="22">
        <v>6</v>
      </c>
      <c r="C612" s="23" t="s">
        <v>0</v>
      </c>
      <c r="D612" s="22">
        <v>8.52</v>
      </c>
      <c r="E612" s="39">
        <v>16</v>
      </c>
      <c r="F612">
        <f t="shared" si="27"/>
        <v>136.32</v>
      </c>
      <c r="G612">
        <f t="shared" si="29"/>
        <v>0.26666666666666666</v>
      </c>
      <c r="I612">
        <f t="shared" si="28"/>
        <v>77010000274</v>
      </c>
    </row>
    <row r="613" spans="1:9" hidden="1" x14ac:dyDescent="0.35">
      <c r="A613" s="22">
        <v>77010000260</v>
      </c>
      <c r="B613" s="22">
        <v>6</v>
      </c>
      <c r="C613" s="23" t="s">
        <v>0</v>
      </c>
      <c r="D613" s="22">
        <v>8.52</v>
      </c>
      <c r="E613" s="39">
        <v>16</v>
      </c>
      <c r="F613">
        <f t="shared" si="27"/>
        <v>136.32</v>
      </c>
      <c r="G613">
        <f t="shared" si="29"/>
        <v>0.26666666666666666</v>
      </c>
      <c r="I613">
        <f t="shared" si="28"/>
        <v>77010000260</v>
      </c>
    </row>
    <row r="614" spans="1:9" hidden="1" x14ac:dyDescent="0.35">
      <c r="A614" s="22">
        <v>77010000292</v>
      </c>
      <c r="B614" s="22">
        <v>6</v>
      </c>
      <c r="C614" s="23" t="s">
        <v>0</v>
      </c>
      <c r="D614" s="22">
        <v>8.52</v>
      </c>
      <c r="E614" s="39">
        <v>16</v>
      </c>
      <c r="F614">
        <f t="shared" si="27"/>
        <v>136.32</v>
      </c>
      <c r="G614">
        <f t="shared" si="29"/>
        <v>0.26666666666666666</v>
      </c>
      <c r="I614">
        <f t="shared" si="28"/>
        <v>77010000292</v>
      </c>
    </row>
    <row r="615" spans="1:9" hidden="1" x14ac:dyDescent="0.35">
      <c r="A615" s="22">
        <v>77010000258</v>
      </c>
      <c r="B615" s="22">
        <v>6</v>
      </c>
      <c r="C615" s="23" t="s">
        <v>0</v>
      </c>
      <c r="D615" s="22">
        <v>8.52</v>
      </c>
      <c r="E615" s="39">
        <v>18</v>
      </c>
      <c r="F615">
        <f t="shared" si="27"/>
        <v>153.35999999999999</v>
      </c>
      <c r="G615">
        <f t="shared" si="29"/>
        <v>0.3</v>
      </c>
      <c r="I615">
        <f t="shared" si="28"/>
        <v>77010000258</v>
      </c>
    </row>
    <row r="616" spans="1:9" hidden="1" x14ac:dyDescent="0.35">
      <c r="A616" s="22">
        <v>77010000307</v>
      </c>
      <c r="B616" s="22">
        <v>6</v>
      </c>
      <c r="C616" s="23" t="s">
        <v>0</v>
      </c>
      <c r="D616" s="22">
        <v>8.52</v>
      </c>
      <c r="E616" s="39">
        <v>18</v>
      </c>
      <c r="F616">
        <f t="shared" si="27"/>
        <v>153.35999999999999</v>
      </c>
      <c r="G616">
        <f t="shared" si="29"/>
        <v>0.3</v>
      </c>
      <c r="I616">
        <f t="shared" si="28"/>
        <v>77010000307</v>
      </c>
    </row>
    <row r="617" spans="1:9" hidden="1" x14ac:dyDescent="0.35">
      <c r="A617" s="22">
        <v>77010000272</v>
      </c>
      <c r="B617" s="22">
        <v>6</v>
      </c>
      <c r="C617" s="23" t="s">
        <v>0</v>
      </c>
      <c r="D617" s="22">
        <v>8.52</v>
      </c>
      <c r="E617" s="39">
        <v>19</v>
      </c>
      <c r="F617">
        <f t="shared" si="27"/>
        <v>161.88</v>
      </c>
      <c r="G617">
        <f t="shared" si="29"/>
        <v>0.31666666666666665</v>
      </c>
      <c r="I617">
        <f t="shared" si="28"/>
        <v>77010000272</v>
      </c>
    </row>
    <row r="618" spans="1:9" hidden="1" x14ac:dyDescent="0.35">
      <c r="A618" s="22">
        <v>77010000269</v>
      </c>
      <c r="B618" s="22">
        <v>6</v>
      </c>
      <c r="C618" s="23" t="s">
        <v>0</v>
      </c>
      <c r="D618" s="22">
        <v>12.79</v>
      </c>
      <c r="E618" s="39">
        <v>21</v>
      </c>
      <c r="F618">
        <f t="shared" si="27"/>
        <v>268.58999999999997</v>
      </c>
      <c r="G618">
        <f t="shared" si="29"/>
        <v>0.35</v>
      </c>
      <c r="I618">
        <f t="shared" si="28"/>
        <v>77010000269</v>
      </c>
    </row>
    <row r="619" spans="1:9" hidden="1" x14ac:dyDescent="0.35">
      <c r="A619" s="22">
        <v>77010000283</v>
      </c>
      <c r="B619" s="22">
        <v>6</v>
      </c>
      <c r="C619" s="23" t="s">
        <v>0</v>
      </c>
      <c r="D619" s="22">
        <v>12.79</v>
      </c>
      <c r="E619" s="39">
        <v>22</v>
      </c>
      <c r="F619">
        <f t="shared" si="27"/>
        <v>281.38</v>
      </c>
      <c r="G619">
        <f t="shared" si="29"/>
        <v>0.36666666666666664</v>
      </c>
      <c r="I619">
        <f t="shared" si="28"/>
        <v>77010000283</v>
      </c>
    </row>
    <row r="620" spans="1:9" hidden="1" x14ac:dyDescent="0.35">
      <c r="A620" s="22">
        <v>77010000246</v>
      </c>
      <c r="B620" s="22">
        <v>6</v>
      </c>
      <c r="C620" s="23" t="s">
        <v>0</v>
      </c>
      <c r="D620" s="22">
        <v>12.79</v>
      </c>
      <c r="E620" s="39">
        <v>22</v>
      </c>
      <c r="F620">
        <f t="shared" si="27"/>
        <v>281.38</v>
      </c>
      <c r="G620">
        <f t="shared" si="29"/>
        <v>0.36666666666666664</v>
      </c>
      <c r="I620">
        <f t="shared" si="28"/>
        <v>77010000246</v>
      </c>
    </row>
    <row r="621" spans="1:9" hidden="1" x14ac:dyDescent="0.35">
      <c r="A621" s="22">
        <v>77010000247</v>
      </c>
      <c r="B621" s="22">
        <v>6</v>
      </c>
      <c r="C621" s="23" t="s">
        <v>0</v>
      </c>
      <c r="D621" s="22">
        <v>12.79</v>
      </c>
      <c r="E621" s="39">
        <v>22</v>
      </c>
      <c r="F621">
        <f t="shared" si="27"/>
        <v>281.38</v>
      </c>
      <c r="G621">
        <f t="shared" si="29"/>
        <v>0.36666666666666664</v>
      </c>
      <c r="I621">
        <f t="shared" si="28"/>
        <v>77010000247</v>
      </c>
    </row>
    <row r="622" spans="1:9" hidden="1" x14ac:dyDescent="0.35">
      <c r="A622" s="22">
        <v>77010000278</v>
      </c>
      <c r="B622" s="22">
        <v>6</v>
      </c>
      <c r="C622" s="23" t="s">
        <v>0</v>
      </c>
      <c r="D622" s="22">
        <v>12.79</v>
      </c>
      <c r="E622" s="39">
        <v>22</v>
      </c>
      <c r="F622">
        <f t="shared" si="27"/>
        <v>281.38</v>
      </c>
      <c r="G622">
        <f t="shared" si="29"/>
        <v>0.36666666666666664</v>
      </c>
      <c r="I622">
        <f t="shared" si="28"/>
        <v>77010000278</v>
      </c>
    </row>
    <row r="623" spans="1:9" hidden="1" x14ac:dyDescent="0.35">
      <c r="A623" s="22">
        <v>77010000291</v>
      </c>
      <c r="B623" s="22">
        <v>6</v>
      </c>
      <c r="C623" s="23" t="s">
        <v>0</v>
      </c>
      <c r="D623" s="22">
        <v>12.79</v>
      </c>
      <c r="E623" s="39">
        <v>23</v>
      </c>
      <c r="F623">
        <f t="shared" si="27"/>
        <v>294.16999999999996</v>
      </c>
      <c r="G623">
        <f t="shared" si="29"/>
        <v>0.38333333333333336</v>
      </c>
      <c r="I623">
        <f t="shared" si="28"/>
        <v>77010000291</v>
      </c>
    </row>
    <row r="624" spans="1:9" hidden="1" x14ac:dyDescent="0.35">
      <c r="A624" s="24">
        <v>77010000246</v>
      </c>
      <c r="B624" s="24">
        <v>6</v>
      </c>
      <c r="C624" s="25" t="s">
        <v>1</v>
      </c>
      <c r="D624" s="24">
        <v>22.3</v>
      </c>
      <c r="E624" s="40">
        <v>24</v>
      </c>
      <c r="F624">
        <f t="shared" si="27"/>
        <v>535.20000000000005</v>
      </c>
      <c r="G624">
        <f t="shared" si="29"/>
        <v>0.4</v>
      </c>
      <c r="I624">
        <f t="shared" si="28"/>
        <v>77010000246</v>
      </c>
    </row>
  </sheetData>
  <sheetProtection pivotTables="0"/>
  <autoFilter ref="A1:J624" xr:uid="{00000000-0001-0000-0100-000000000000}">
    <filterColumn colId="0">
      <filters>
        <filter val="77010000055"/>
      </filters>
    </filterColumn>
  </autoFilter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/>
  </sheetViews>
  <sheetFormatPr defaultRowHeight="14.5" x14ac:dyDescent="0.35"/>
  <sheetData>
    <row r="1" spans="1:1" x14ac:dyDescent="0.35">
      <c r="A1">
        <f>VLOOKUP(77010000055,'База данных'!A:B,2,FALSE)</f>
        <v>1</v>
      </c>
    </row>
    <row r="2" spans="1:1" x14ac:dyDescent="0.35">
      <c r="A2">
        <f>SUMIF('База данных'!B:B,"1",'База данных'!E:E)</f>
        <v>2705</v>
      </c>
    </row>
    <row r="3" spans="1:1" x14ac:dyDescent="0.3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 ответов</vt:lpstr>
      <vt:lpstr>Лист1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ARUZHAN YESTIMESSOVA</cp:lastModifiedBy>
  <dcterms:created xsi:type="dcterms:W3CDTF">2010-08-09T12:20:19Z</dcterms:created>
  <dcterms:modified xsi:type="dcterms:W3CDTF">2026-05-02T08:56:26Z</dcterms:modified>
</cp:coreProperties>
</file>